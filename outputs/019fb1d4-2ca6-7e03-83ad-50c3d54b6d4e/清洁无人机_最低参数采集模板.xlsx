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0a65c30a3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a0eed38ac804f7e"/>
    <x:sheet xmlns:r="http://schemas.openxmlformats.org/officeDocument/2006/relationships" name="整机与电源" sheetId="2" r:id="Rd615f06b5e5b465d"/>
    <x:sheet xmlns:r="http://schemas.openxmlformats.org/officeDocument/2006/relationships" name="电机与旋翼" sheetId="3" r:id="R93d75fe3881243c2"/>
    <x:sheet xmlns:r="http://schemas.openxmlformats.org/officeDocument/2006/relationships" name="机械臂关节" sheetId="4" r:id="R5c108fd956754824"/>
    <x:sheet xmlns:r="http://schemas.openxmlformats.org/officeDocument/2006/relationships" name="连杆与载荷" sheetId="5" r:id="Rda33e9f2deee40db"/>
    <x:sheet xmlns:r="http://schemas.openxmlformats.org/officeDocument/2006/relationships" name="试验与日志" sheetId="6" r:id="R472cc75172ee4134"/>
  </x:sheets>
</x:workbook>
</file>

<file path=xl/comments1.xml><?xml version="1.0" encoding="utf-8"?>
<x:comments xmlns:x="http://schemas.openxmlformats.org/spreadsheetml/2006/main">
  <x:authors>
    <x:author>tc={81EBAC58-3506-206F-A2B1-6B3E72E7A9E9}</x:author>
  </x:authors>
  <x:commentList>
    <x:comment ref="E2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推力轴必须是单位向量；FRD 坐标中向上的主要分量通常为负 Z。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tc={B5A34503-7D54-721B-A855-E026D9E8C639}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优先填写舵机输出轴经过减速机构后的连续力矩，而不是电机裸轴力矩。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tc={8603F650-7E28-6BEB-65DC-69CA244450D1}</x:author>
  </x:authors>
  <x:commentList>
    <x:comment ref="G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惯量必须相对于该连杆自身重心，并与填写的连杆坐标轴一致。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"/>
    <x:numFmt numFmtId="203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8FBFF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double">
        <x:color rgb="FF17365D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200" fontId="0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201" fontId="0" fillId="6" borderId="2" xfId="0" applyNumberFormat="1" applyFont="1" applyFill="1" applyBorder="1" applyAlignment="1">
      <x:alignment vertical="center" wrapText="1"/>
    </x:xf>
    <x:xf numFmtId="201" fontId="0" fillId="6" borderId="3" xfId="0" applyNumberFormat="1" applyFont="1" applyFill="1" applyBorder="1" applyAlignment="1">
      <x:alignment vertical="center" wrapText="1"/>
    </x:xf>
    <x:xf numFmtId="202" fontId="0" fillId="6" borderId="2" xfId="0" applyNumberFormat="1" applyFont="1" applyFill="1" applyBorder="1" applyAlignment="1">
      <x:alignment vertical="center" wrapText="1"/>
    </x:xf>
    <x:xf numFmtId="202" fontId="0" fillId="6" borderId="3" xfId="0" applyNumberFormat="1" applyFont="1" applyFill="1" applyBorder="1" applyAlignment="1">
      <x:alignment vertical="center" wrapText="1"/>
    </x:xf>
    <x:xf numFmtId="203" fontId="0" fillId="6" borderId="2" xfId="0" applyNumberFormat="1" applyFont="1" applyFill="1" applyBorder="1" applyAlignment="1">
      <x:alignment vertical="center" wrapText="1"/>
    </x:xf>
    <x:xf numFmtId="203" fontId="0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842eb38c446d0" /><Relationship Type="http://schemas.openxmlformats.org/officeDocument/2006/relationships/theme" Target="/xl/theme/theme1.xml" Id="R1648fcf4682a43e6" /><Relationship Type="http://schemas.openxmlformats.org/officeDocument/2006/relationships/sharedStrings" Target="/xl/sharedStrings.xml" Id="R2cfb3486b11d4bf9" /><Relationship Type="http://schemas.openxmlformats.org/officeDocument/2006/relationships/worksheet" Target="/xl/worksheets/sheet1.xml" Id="Rba0eed38ac804f7e" /><Relationship Type="http://schemas.openxmlformats.org/officeDocument/2006/relationships/worksheet" Target="/xl/worksheets/sheet2.xml" Id="Rd615f06b5e5b465d" /><Relationship Type="http://schemas.openxmlformats.org/officeDocument/2006/relationships/worksheet" Target="/xl/worksheets/sheet3.xml" Id="R93d75fe3881243c2" /><Relationship Type="http://schemas.openxmlformats.org/officeDocument/2006/relationships/worksheet" Target="/xl/worksheets/sheet4.xml" Id="R5c108fd956754824" /><Relationship Type="http://schemas.openxmlformats.org/officeDocument/2006/relationships/worksheet" Target="/xl/worksheets/sheet5.xml" Id="Rda33e9f2deee40db" /><Relationship Type="http://schemas.openxmlformats.org/officeDocument/2006/relationships/worksheet" Target="/xl/worksheets/sheet6.xml" Id="R472cc75172ee4134" /><Relationship Type="http://schemas.microsoft.com/office/2017/10/relationships/person" Target="/xl/persons/person.xml" Id="R59ad9881515343d6" /></Relationships>
</file>

<file path=xl/persons/person.xml><?xml version="1.0" encoding="utf-8"?>
<xltc:personList xmlns:xltc="http://schemas.microsoft.com/office/spreadsheetml/2018/threadedcomments">
  <xltc:person displayName="User" id="{E0383275-BC1F-4FF0-BC89-58DE37C8CD1A}"/>
</xltc:personList>
</file>

<file path=xl/tables/table1.xml><?xml version="1.0" encoding="utf-8"?>
<x:table xmlns:x="http://schemas.openxmlformats.org/spreadsheetml/2006/main" id="1" name="VehicleInputsTable" displayName="VehicleInputsTable" ref="A4:H19" headerRowCount="1" totalsRowCount="0" totalsRowShown="0">
  <x:tableColumns count="8">
    <x:tableColumn id="1" name="编号"/>
    <x:tableColumn id="2" name="分类"/>
    <x:tableColumn id="3" name="参数"/>
    <x:tableColumn id="4" name="填写值"/>
    <x:tableColumn id="5" name="单位"/>
    <x:tableColumn id="6" name="填写示例"/>
    <x:tableColumn id="7" name="必填等级"/>
    <x:tableColumn id="8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torInputsTable" displayName="MotorInputsTable" ref="A4:H16" headerRowCount="1" totalsRowCount="0" totalsRowShown="0">
  <x:tableColumns count="8">
    <x:tableColumn id="1" name="编号"/>
    <x:tableColumn id="2" name="分类"/>
    <x:tableColumn id="3" name="参数"/>
    <x:tableColumn id="4" name="填写值"/>
    <x:tableColumn id="5" name="单位"/>
    <x:tableColumn id="6" name="填写示例"/>
    <x:tableColumn id="7" name="必填等级"/>
    <x:tableColumn id="8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torGeometryTable" displayName="RotorGeometryTable" ref="A20:K28" headerRowCount="1" totalsRowCount="0" totalsRowShown="0">
  <x:tableColumns count="11">
    <x:tableColumn id="1" name="电机编号"/>
    <x:tableColumn id="2" name="X"/>
    <x:tableColumn id="3" name="Y"/>
    <x:tableColumn id="4" name="Z"/>
    <x:tableColumn id="5" name="推力轴 X"/>
    <x:tableColumn id="6" name="推力轴 Y"/>
    <x:tableColumn id="7" name="推力轴 Z"/>
    <x:tableColumn id="8" name="旋转方向"/>
    <x:tableColumn id="9" name="最大转速"/>
    <x:tableColumn id="10" name="备注"/>
    <x:tableColumn id="11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mJointsTable" displayName="ArmJointsTable" ref="A4:M10" headerRowCount="1" totalsRowCount="0" totalsRowShown="0">
  <x:tableColumns count="13">
    <x:tableColumn id="1" name="编号"/>
    <x:tableColumn id="2" name="关节名称"/>
    <x:tableColumn id="3" name="舵机型号"/>
    <x:tableColumn id="4" name="减速比"/>
    <x:tableColumn id="5" name="连续力矩&#10;N·m"/>
    <x:tableColumn id="6" name="峰值力矩&#10;N·m"/>
    <x:tableColumn id="7" name="最大速度&#10;rad/s"/>
    <x:tableColumn id="8" name="下限&#10;rad"/>
    <x:tableColumn id="9" name="上限&#10;rad"/>
    <x:tableColumn id="10" name="飞行中运动"/>
    <x:tableColumn id="11" name="计划速度&#10;rad/s"/>
    <x:tableColumn id="12" name="计划加速度&#10;rad/s²"/>
    <x:tableColumn id="13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nkInertiaTable" displayName="LinkInertiaTable" ref="A4:N12" headerRowCount="1" totalsRowCount="0" totalsRowShown="0">
  <x:tableColumns count="14">
    <x:tableColumn id="1" name="编号"/>
    <x:tableColumn id="2" name="连杆/部件"/>
    <x:tableColumn id="3" name="质量&#10;kg"/>
    <x:tableColumn id="4" name="COM X&#10;m"/>
    <x:tableColumn id="5" name="COM Y&#10;m"/>
    <x:tableColumn id="6" name="COM Z&#10;m"/>
    <x:tableColumn id="7" name="Ixx&#10;kg·m²"/>
    <x:tableColumn id="8" name="Iyy&#10;kg·m²"/>
    <x:tableColumn id="9" name="Izz&#10;kg·m²"/>
    <x:tableColumn id="10" name="Ixy&#10;kg·m²"/>
    <x:tableColumn id="11" name="Ixz&#10;kg·m²"/>
    <x:tableColumn id="12" name="Iyz&#10;kg·m²"/>
    <x:tableColumn id="13" name="CAD/STEP/URDF 路径"/>
    <x:tableColumn id="14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lidationFilesTable" displayName="ValidationFilesTable" ref="A4:H12" headerRowCount="1" totalsRowCount="0" totalsRowShown="0">
  <x:tableColumns count="8">
    <x:tableColumn id="1" name="编号"/>
    <x:tableColumn id="2" name="资料类型"/>
    <x:tableColumn id="3" name="资料名称"/>
    <x:tableColumn id="4" name="文件路径/链接"/>
    <x:tableColumn id="5" name="格式"/>
    <x:tableColumn id="6" name="最低内容"/>
    <x:tableColumn id="7" name="优先级"/>
    <x:tableColumn id="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21" dT="2026-07-30T08:02:45.321" personId="{E0383275-BC1F-4FF0-BC89-58DE37C8CD1A}" id="{81EBAC58-3506-206F-A2B1-6B3E72E7A9E9}">
    <xltc:text>推力轴必须是单位向量；FRD 坐标中向上的主要分量通常为负 Z。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" dT="2026-07-30T08:02:45.322" personId="{E0383275-BC1F-4FF0-BC89-58DE37C8CD1A}" id="{B5A34503-7D54-721B-A855-E026D9E8C639}">
    <xltc:text>优先填写舵机输出轴经过减速机构后的连续力矩，而不是电机裸轴力矩。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G5" dT="2026-07-30T08:02:45.322" personId="{E0383275-BC1F-4FF0-BC89-58DE37C8CD1A}" id="{8603F650-7E28-6BEB-65DC-69CA244450D1}">
    <xltc:text>惯量必须相对于该连杆自身重心，并与填写的连杆坐标轴一致。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9f4e9ff5d5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bdc9192e35b4469b" /><Relationship Type="http://schemas.openxmlformats.org/officeDocument/2006/relationships/vmlDrawing" Target="/xl/drawings/vmldrawing.vml" Id="Rc3a1cc798e7e4f9d" /><Relationship Type="http://schemas.microsoft.com/office/2017/10/relationships/threadedComment" Target="/xl/threadedcomments/threadedcomment.xml" Id="R9eb9028738834aa6" /><Relationship Type="http://schemas.openxmlformats.org/officeDocument/2006/relationships/table" Target="/xl/tables/table2.xml" Id="R559dec685f8d4a8d" /><Relationship Type="http://schemas.openxmlformats.org/officeDocument/2006/relationships/table" Target="/xl/tables/table3.xml" Id="Rc85e3b5fd0f24f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d6ff2138a6664e62" /><Relationship Type="http://schemas.openxmlformats.org/officeDocument/2006/relationships/vmlDrawing" Target="/xl/drawings/vmldrawing2.vml" Id="R27b2425d4ba64dd6" /><Relationship Type="http://schemas.microsoft.com/office/2017/10/relationships/threadedComment" Target="/xl/threadedcomments/threadedcomment2.xml" Id="Rb588fbada1004379" /><Relationship Type="http://schemas.openxmlformats.org/officeDocument/2006/relationships/table" Target="/xl/tables/table4.xml" Id="Re088dbc95bd745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6614e9673f1349cc" /><Relationship Type="http://schemas.openxmlformats.org/officeDocument/2006/relationships/vmlDrawing" Target="/xl/drawings/vmldrawing3.vml" Id="Rbcb5c9ad0c8a4ebc" /><Relationship Type="http://schemas.microsoft.com/office/2017/10/relationships/threadedComment" Target="/xl/threadedcomments/threadedcomment3.xml" Id="R910d1f4acdac4508" /><Relationship Type="http://schemas.openxmlformats.org/officeDocument/2006/relationships/table" Target="/xl/tables/table5.xml" Id="R105faf6bf34a4c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654ca95073c44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4" t="str">
        <x:v>清洁无人机真实仿真参数采集表（最低版本）</x:v>
      </x:c>
      <x:c r="B1" s="4" t="str">
        <x:v>清洁无人机真实仿真参数采集表（最低版本）</x:v>
      </x:c>
      <x:c r="C1" s="4" t="str">
        <x:v>清洁无人机真实仿真参数采集表（最低版本）</x:v>
      </x:c>
      <x:c r="D1" s="4" t="str">
        <x:v>清洁无人机真实仿真参数采集表（最低版本）</x:v>
      </x:c>
      <x:c r="E1" s="4" t="str">
        <x:v>清洁无人机真实仿真参数采集表（最低版本）</x:v>
      </x:c>
      <x:c r="F1" s="4" t="str">
        <x:v>清洁无人机真实仿真参数采集表（最低版本）</x:v>
      </x:c>
      <x:c r="G1" s="4" t="str">
        <x:v>清洁无人机真实仿真参数采集表（最低版本）</x:v>
      </x:c>
      <x:c r="H1" s="4" t="str">
        <x:v>清洁无人机真实仿真参数采集表（最低版本）</x:v>
      </x:c>
    </x:row>
    <x:row r="3" ht="42" customHeight="1">
      <x:c r="A3" s="8" t="str">
        <x:v>优先填写黄色单元格。完成率只统计“最低必填”；建议项与试验日志可以后续补充。坐标统一使用机体 FRD：X 前、Y 右、Z 下。</x:v>
      </x:c>
      <x:c r="B3" s="8" t="str">
        <x:v>优先填写黄色单元格。完成率只统计“最低必填”；建议项与试验日志可以后续补充。坐标统一使用机体 FRD：X 前、Y 右、Z 下。</x:v>
      </x:c>
      <x:c r="C3" s="8" t="str">
        <x:v>优先填写黄色单元格。完成率只统计“最低必填”；建议项与试验日志可以后续补充。坐标统一使用机体 FRD：X 前、Y 右、Z 下。</x:v>
      </x:c>
      <x:c r="D3" s="8" t="str">
        <x:v>优先填写黄色单元格。完成率只统计“最低必填”；建议项与试验日志可以后续补充。坐标统一使用机体 FRD：X 前、Y 右、Z 下。</x:v>
      </x:c>
      <x:c r="E3" s="8" t="str">
        <x:v>优先填写黄色单元格。完成率只统计“最低必填”；建议项与试验日志可以后续补充。坐标统一使用机体 FRD：X 前、Y 右、Z 下。</x:v>
      </x:c>
      <x:c r="F3" s="8" t="str">
        <x:v>优先填写黄色单元格。完成率只统计“最低必填”；建议项与试验日志可以后续补充。坐标统一使用机体 FRD：X 前、Y 右、Z 下。</x:v>
      </x:c>
      <x:c r="G3" s="8" t="str">
        <x:v>优先填写黄色单元格。完成率只统计“最低必填”；建议项与试验日志可以后续补充。坐标统一使用机体 FRD：X 前、Y 右、Z 下。</x:v>
      </x:c>
      <x:c r="H3" s="8" t="str">
        <x:v>优先填写黄色单元格。完成率只统计“最低必填”；建议项与试验日志可以后续补充。坐标统一使用机体 FRD：X 前、Y 右、Z 下。</x:v>
      </x:c>
    </x:row>
    <x:row r="5" ht="30" customHeight="1">
      <x:c r="A5" s="14" t="str">
        <x:v>参数分组</x:v>
      </x:c>
      <x:c r="B5" s="14" t="str">
        <x:v>最低必填数</x:v>
      </x:c>
      <x:c r="C5" s="14" t="str">
        <x:v>已完成数</x:v>
      </x:c>
      <x:c r="D5" s="14" t="str">
        <x:v>完成率</x:v>
      </x:c>
    </x:row>
    <x:row r="6">
      <x:c r="A6" s="24" t="str">
        <x:v>整机与电源</x:v>
      </x:c>
      <x:c r="B6" s="24" t="n">
        <x:f>COUNTIF('整机与电源'!$G$5:$G$19,"最低必填")</x:f>
        <x:v>12</x:v>
      </x:c>
      <x:c r="C6" s="24" t="n">
        <x:f>COUNTIFS('整机与电源'!$G$5:$G$19,"最低必填",'整机与电源'!$H$5:$H$19,"已填写")</x:f>
        <x:v>0</x:v>
      </x:c>
      <x:c r="D6" s="25" t="n">
        <x:f>IF(B6=0,0,C6/B6)</x:f>
        <x:v>0</x:v>
      </x:c>
    </x:row>
    <x:row r="7">
      <x:c r="A7" s="26" t="str">
        <x:v>电机与旋翼</x:v>
      </x:c>
      <x:c r="B7" s="26" t="n">
        <x:f>COUNTIF('电机与旋翼'!$G$5:$G$16,"最低必填")+8</x:f>
        <x:v>18</x:v>
      </x:c>
      <x:c r="C7" s="26" t="n">
        <x:f>COUNTIFS('电机与旋翼'!$G$5:$G$16,"最低必填",'电机与旋翼'!$H$5:$H$16,"已填写")+COUNTIF('电机与旋翼'!$K$21:$K$28,"已填写")</x:f>
        <x:v>0</x:v>
      </x:c>
      <x:c r="D7" s="27" t="n">
        <x:f>IF(B7=0,0,C7/B7)</x:f>
        <x:v>0</x:v>
      </x:c>
    </x:row>
    <x:row r="8">
      <x:c r="A8" s="26" t="str">
        <x:v>机械臂关节</x:v>
      </x:c>
      <x:c r="B8" s="26" t="n">
        <x:f>6</x:f>
        <x:v>6</x:v>
      </x:c>
      <x:c r="C8" s="26" t="n">
        <x:f>COUNTIF('机械臂关节'!$M$5:$M$10,"已填写")</x:f>
        <x:v>0</x:v>
      </x:c>
      <x:c r="D8" s="27" t="n">
        <x:f>IF(B8=0,0,C8/B8)</x:f>
        <x:v>0</x:v>
      </x:c>
    </x:row>
    <x:row r="9">
      <x:c r="A9" s="26" t="str">
        <x:v>连杆与载荷</x:v>
      </x:c>
      <x:c r="B9" s="26" t="n">
        <x:f>8</x:f>
        <x:v>8</x:v>
      </x:c>
      <x:c r="C9" s="26" t="n">
        <x:f>COUNTIF('连杆与载荷'!$N$5:$N$12,"已填写")</x:f>
        <x:v>0</x:v>
      </x:c>
      <x:c r="D9" s="27" t="n">
        <x:f>IF(B9=0,0,C9/B9)</x:f>
        <x:v>0</x:v>
      </x:c>
    </x:row>
    <x:row r="10">
      <x:c r="A10" s="32" t="str">
        <x:v>总计</x:v>
      </x:c>
      <x:c r="B10" s="32" t="n">
        <x:f>SUM(B6:B9)</x:f>
        <x:v>44</x:v>
      </x:c>
      <x:c r="C10" s="32" t="n">
        <x:f>SUM(C6:C9)</x:f>
        <x:v>0</x:v>
      </x:c>
      <x:c r="D10" s="33" t="n">
        <x:f>IF(B10=0,0,C10/B10)</x:f>
        <x:v>0</x:v>
      </x:c>
    </x:row>
    <x:row r="12">
      <x:c r="A12" s="34" t="str">
        <x:v>最低交付要求</x:v>
      </x:c>
      <x:c r="B12" s="34" t="str">
        <x:v>最低交付要求</x:v>
      </x:c>
      <x:c r="C12" s="34" t="str">
        <x:v>最低交付要求</x:v>
      </x:c>
      <x:c r="D12" s="34" t="str">
        <x:v>最低交付要求</x:v>
      </x:c>
      <x:c r="E12" s="34" t="str">
        <x:v>最低交付要求</x:v>
      </x:c>
      <x:c r="F12" s="34" t="str">
        <x:v>最低交付要求</x:v>
      </x:c>
      <x:c r="G12" s="34" t="str">
        <x:v>最低交付要求</x:v>
      </x:c>
      <x:c r="H12" s="34" t="str">
        <x:v>最低交付要求</x:v>
      </x:c>
    </x:row>
    <x:row r="13" ht="24" customHeight="1">
      <x:c r="A13" s="53" t="str">
        <x:v>1. 如果没有精确惯量，可在“连杆与载荷”中提供 CAD/STEP 文件路径，惯量栏暂时留空。</x:v>
      </x:c>
      <x:c r="B13" s="54"/>
      <x:c r="C13" s="54"/>
      <x:c r="D13" s="54"/>
      <x:c r="E13" s="54"/>
      <x:c r="F13" s="54"/>
      <x:c r="G13" s="54"/>
      <x:c r="H13" s="55"/>
    </x:row>
    <x:row r="14" ht="24" customHeight="1">
      <x:c r="A14" s="56" t="str">
        <x:v>2. 舵机最少提供型号、连续力矩、最大速度、运动范围，以及飞行中是否动作。</x:v>
      </x:c>
      <x:c r="B14" s="57"/>
      <x:c r="C14" s="57"/>
      <x:c r="D14" s="57"/>
      <x:c r="E14" s="57"/>
      <x:c r="F14" s="57"/>
      <x:c r="G14" s="57"/>
      <x:c r="H14" s="58"/>
    </x:row>
    <x:row r="15" ht="24" customHeight="1">
      <x:c r="A15" s="56" t="str">
        <x:v>3. 八个电机必须提供实际安装坐标、推力轴方向和旋转方向。</x:v>
      </x:c>
      <x:c r="B15" s="57"/>
      <x:c r="C15" s="57"/>
      <x:c r="D15" s="57"/>
      <x:c r="E15" s="57"/>
      <x:c r="F15" s="57"/>
      <x:c r="G15" s="57"/>
      <x:c r="H15" s="58"/>
    </x:row>
    <x:row r="16" ht="24" customHeight="1">
      <x:c r="A16" s="56" t="str">
        <x:v>4. 推力台数据优先提供 CSV；若暂时没有，可先填厂商拉力表文件。</x:v>
      </x:c>
      <x:c r="B16" s="57"/>
      <x:c r="C16" s="57"/>
      <x:c r="D16" s="57"/>
      <x:c r="E16" s="57"/>
      <x:c r="F16" s="57"/>
      <x:c r="G16" s="57"/>
      <x:c r="H16" s="58"/>
    </x:row>
    <x:row r="17" ht="24" customHeight="1">
      <x:c r="A17" s="56" t="str">
        <x:v>5. 所有质量使用 kg、长度使用 m、角度使用 rad、力矩使用 N·m。</x:v>
      </x:c>
      <x:c r="B17" s="57"/>
      <x:c r="C17" s="57"/>
      <x:c r="D17" s="57"/>
      <x:c r="E17" s="57"/>
      <x:c r="F17" s="57"/>
      <x:c r="G17" s="57"/>
      <x:c r="H17" s="58"/>
    </x:row>
    <x:row r="18" ht="24" customHeight="1">
      <x:c r="A18" s="59" t="str">
        <x:v>6. 文件路径可填写本机绝对路径，也可填写项目内相对路径。</x:v>
      </x:c>
      <x:c r="B18" s="60"/>
      <x:c r="C18" s="60"/>
      <x:c r="D18" s="60"/>
      <x:c r="E18" s="60"/>
      <x:c r="F18" s="60"/>
      <x:c r="G18" s="60"/>
      <x:c r="H18" s="61"/>
    </x:row>
  </x:sheetData>
  <x:mergeCells>
    <x:mergeCell ref="A1:H1"/>
    <x:mergeCell ref="A3:H3"/>
    <x:mergeCell ref="A12:H12"/>
    <x:mergeCell ref="A13:H13"/>
    <x:mergeCell ref="A14:H14"/>
    <x:mergeCell ref="A15:H15"/>
    <x:mergeCell ref="A16:H16"/>
    <x:mergeCell ref="A17:H17"/>
    <x:mergeCell ref="A18:H18"/>
  </x:mergeCells>
  <x:conditionalFormatting sqref="D6:D10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{F9A776B6-1542-568D-7675-1F661D72638E}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9A776B6-1542-568D-7675-1F661D72638E}">
            <x14:dataBar gradient="1">
              <x14:cfvo type="min"/>
              <x14:cfvo type="max"/>
              <x14:fillColor rgb="FF2F75B5"/>
            </x14:dataBar>
          </x14:cfRule>
          <xm:sqref>D6:D10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22" hidden="0" customWidth="1"/>
    <x:col min="5" max="5" width="12" hidden="0" customWidth="1"/>
    <x:col min="6" max="6" width="30" hidden="0" customWidth="1"/>
    <x:col min="7" max="7" width="13" hidden="0" customWidth="1"/>
    <x:col min="8" max="8" width="12" hidden="0" customWidth="1"/>
  </x:cols>
  <x:sheetData>
    <x:row r="1" ht="32" customHeight="1">
      <x:c r="A1" s="4" t="str">
        <x:v>整机、载荷与电源参数</x:v>
      </x:c>
      <x:c r="B1" s="4" t="str">
        <x:v>整机、载荷与电源参数</x:v>
      </x:c>
      <x:c r="C1" s="4" t="str">
        <x:v>整机、载荷与电源参数</x:v>
      </x:c>
      <x:c r="D1" s="4" t="str">
        <x:v>整机、载荷与电源参数</x:v>
      </x:c>
      <x:c r="E1" s="4" t="str">
        <x:v>整机、载荷与电源参数</x:v>
      </x:c>
      <x:c r="F1" s="4" t="str">
        <x:v>整机、载荷与电源参数</x:v>
      </x:c>
      <x:c r="G1" s="4" t="str">
        <x:v>整机、载荷与电源参数</x:v>
      </x:c>
      <x:c r="H1" s="4" t="str">
        <x:v>整机、载荷与电源参数</x:v>
      </x:c>
    </x:row>
    <x:row r="3">
      <x:c r="A3" s="62" t="str">
        <x:v>填写实际装机状态；重心坐标以最终飞行构型为准。没有数据时不要猜，可在备注/示例基础上标记“待测”。</x:v>
      </x:c>
      <x:c r="B3" s="62" t="str">
        <x:v>填写实际装机状态；重心坐标以最终飞行构型为准。没有数据时不要猜，可在备注/示例基础上标记“待测”。</x:v>
      </x:c>
      <x:c r="C3" s="62" t="str">
        <x:v>填写实际装机状态；重心坐标以最终飞行构型为准。没有数据时不要猜，可在备注/示例基础上标记“待测”。</x:v>
      </x:c>
      <x:c r="D3" s="62" t="str">
        <x:v>填写实际装机状态；重心坐标以最终飞行构型为准。没有数据时不要猜，可在备注/示例基础上标记“待测”。</x:v>
      </x:c>
      <x:c r="E3" s="62" t="str">
        <x:v>填写实际装机状态；重心坐标以最终飞行构型为准。没有数据时不要猜，可在备注/示例基础上标记“待测”。</x:v>
      </x:c>
      <x:c r="F3" s="62" t="str">
        <x:v>填写实际装机状态；重心坐标以最终飞行构型为准。没有数据时不要猜，可在备注/示例基础上标记“待测”。</x:v>
      </x:c>
      <x:c r="G3" s="62" t="str">
        <x:v>填写实际装机状态；重心坐标以最终飞行构型为准。没有数据时不要猜，可在备注/示例基础上标记“待测”。</x:v>
      </x:c>
      <x:c r="H3" s="62" t="str">
        <x:v>填写实际装机状态；重心坐标以最终飞行构型为准。没有数据时不要猜，可在备注/示例基础上标记“待测”。</x:v>
      </x:c>
    </x:row>
    <x:row r="4" ht="15" hidden="0" customHeight="1">
      <x:c r="A4" s="14" t="str">
        <x:v>编号</x:v>
      </x:c>
      <x:c r="B4" s="14" t="str">
        <x:v>分类</x:v>
      </x:c>
      <x:c r="C4" s="14" t="str">
        <x:v>参数</x:v>
      </x:c>
      <x:c r="D4" s="14" t="str">
        <x:v>填写值</x:v>
      </x:c>
      <x:c r="E4" s="14" t="str">
        <x:v>单位</x:v>
      </x:c>
      <x:c r="F4" s="14" t="str">
        <x:v>填写示例</x:v>
      </x:c>
      <x:c r="G4" s="14" t="str">
        <x:v>必填等级</x:v>
      </x:c>
      <x:c r="H4" s="14" t="str">
        <x:v>状态</x:v>
      </x:c>
    </x:row>
    <x:row r="5" ht="26.399999618530273" hidden="0" customHeight="1">
      <x:c r="A5" s="24" t="n">
        <x:v>1</x:v>
      </x:c>
      <x:c r="B5" s="24" t="str">
        <x:v>整机</x:v>
      </x:c>
      <x:c r="C5" s="24" t="str">
        <x:v>整机型号/版本</x:v>
      </x:c>
      <x:c r="D5" s="63"/>
      <x:c r="E5" s="24"/>
      <x:c r="F5" s="24" t="str">
        <x:v>my_drone_v1</x:v>
      </x:c>
      <x:c r="G5" s="24" t="str">
        <x:v>最低必填</x:v>
      </x:c>
      <x:c r="H5" s="65" t="str">
        <x:f>IF(G5="最低必填",IF(D5&lt;&gt;"","已填写","待填写"),IF(D5&lt;&gt;"","已填写","可后补"))</x:f>
        <x:v>待填写</x:v>
      </x:c>
    </x:row>
    <x:row r="6" ht="26.399999618530273" hidden="0" customHeight="1">
      <x:c r="A6" s="26" t="n">
        <x:v>2</x:v>
      </x:c>
      <x:c r="B6" s="26" t="str">
        <x:v>整机</x:v>
      </x:c>
      <x:c r="C6" s="26" t="str">
        <x:v>最终起飞总质量</x:v>
      </x:c>
      <x:c r="D6" s="64"/>
      <x:c r="E6" s="26" t="str">
        <x:v>kg</x:v>
      </x:c>
      <x:c r="F6" s="26" t="str">
        <x:v>12.5</x:v>
      </x:c>
      <x:c r="G6" s="26" t="str">
        <x:v>最低必填</x:v>
      </x:c>
      <x:c r="H6" s="66" t="str">
        <x:f>IF(G6="最低必填",IF(D6&lt;&gt;"","已填写","待填写"),IF(D6&lt;&gt;"","已填写","可后补"))</x:f>
        <x:v>待填写</x:v>
      </x:c>
    </x:row>
    <x:row r="7" ht="52.79999923706055" hidden="0" customHeight="1">
      <x:c r="A7" s="26" t="n">
        <x:v>3</x:v>
      </x:c>
      <x:c r="B7" s="26" t="str">
        <x:v>整机</x:v>
      </x:c>
      <x:c r="C7" s="26" t="str">
        <x:v>机体（不含电池、机械臂）质量</x:v>
      </x:c>
      <x:c r="D7" s="64"/>
      <x:c r="E7" s="26" t="str">
        <x:v>kg</x:v>
      </x:c>
      <x:c r="F7" s="26" t="str">
        <x:v>7.2</x:v>
      </x:c>
      <x:c r="G7" s="26" t="str">
        <x:v>建议</x:v>
      </x:c>
      <x:c r="H7" s="66" t="str">
        <x:f>IF(G7="最低必填",IF(D7&lt;&gt;"","已填写","待填写"),IF(D7&lt;&gt;"","已填写","可后补"))</x:f>
        <x:v>可后补</x:v>
      </x:c>
    </x:row>
    <x:row r="8" ht="15" hidden="0" customHeight="1">
      <x:c r="A8" s="26" t="n">
        <x:v>4</x:v>
      </x:c>
      <x:c r="B8" s="26" t="str">
        <x:v>电池</x:v>
      </x:c>
      <x:c r="C8" s="26" t="str">
        <x:v>电池质量</x:v>
      </x:c>
      <x:c r="D8" s="64"/>
      <x:c r="E8" s="26" t="str">
        <x:v>kg</x:v>
      </x:c>
      <x:c r="F8" s="26" t="str">
        <x:v>2.1</x:v>
      </x:c>
      <x:c r="G8" s="26" t="str">
        <x:v>最低必填</x:v>
      </x:c>
      <x:c r="H8" s="66" t="str">
        <x:f>IF(G8="最低必填",IF(D8&lt;&gt;"","已填写","待填写"),IF(D8&lt;&gt;"","已填写","可后补"))</x:f>
        <x:v>待填写</x:v>
      </x:c>
    </x:row>
    <x:row r="9" ht="26.399999618530273" hidden="0" customHeight="1">
      <x:c r="A9" s="26" t="n">
        <x:v>5</x:v>
      </x:c>
      <x:c r="B9" s="26" t="str">
        <x:v>机械臂</x:v>
      </x:c>
      <x:c r="C9" s="26" t="str">
        <x:v>机械臂总质量</x:v>
      </x:c>
      <x:c r="D9" s="64"/>
      <x:c r="E9" s="26" t="str">
        <x:v>kg</x:v>
      </x:c>
      <x:c r="F9" s="26" t="str">
        <x:v>1.8</x:v>
      </x:c>
      <x:c r="G9" s="26" t="str">
        <x:v>最低必填</x:v>
      </x:c>
      <x:c r="H9" s="66" t="str">
        <x:f>IF(G9="最低必填",IF(D9&lt;&gt;"","已填写","待填写"),IF(D9&lt;&gt;"","已填写","可后补"))</x:f>
        <x:v>待填写</x:v>
      </x:c>
    </x:row>
    <x:row r="10" ht="39.599998474121094" hidden="0" customHeight="1">
      <x:c r="A10" s="26" t="n">
        <x:v>6</x:v>
      </x:c>
      <x:c r="B10" s="26" t="str">
        <x:v>载荷</x:v>
      </x:c>
      <x:c r="C10" s="26" t="str">
        <x:v>末端清洁头/有效载荷质量</x:v>
      </x:c>
      <x:c r="D10" s="64"/>
      <x:c r="E10" s="26" t="str">
        <x:v>kg</x:v>
      </x:c>
      <x:c r="F10" s="26" t="str">
        <x:v>0.9</x:v>
      </x:c>
      <x:c r="G10" s="26" t="str">
        <x:v>最低必填</x:v>
      </x:c>
      <x:c r="H10" s="66" t="str">
        <x:f>IF(G10="最低必填",IF(D10&lt;&gt;"","已填写","待填写"),IF(D10&lt;&gt;"","已填写","可后补"))</x:f>
        <x:v>待填写</x:v>
      </x:c>
    </x:row>
    <x:row r="11" ht="39.599998474121094" hidden="0" customHeight="1">
      <x:c r="A11" s="26" t="n">
        <x:v>7</x:v>
      </x:c>
      <x:c r="B11" s="26" t="str">
        <x:v>重心</x:v>
      </x:c>
      <x:c r="C11" s="26" t="str">
        <x:v>整机重心 X（前为正）</x:v>
      </x:c>
      <x:c r="D11" s="64"/>
      <x:c r="E11" s="26" t="str">
        <x:v>m</x:v>
      </x:c>
      <x:c r="F11" s="26" t="str">
        <x:v>0.012</x:v>
      </x:c>
      <x:c r="G11" s="26" t="str">
        <x:v>最低必填</x:v>
      </x:c>
      <x:c r="H11" s="66" t="str">
        <x:f>IF(G11="最低必填",IF(D11&lt;&gt;"","已填写","待填写"),IF(D11&lt;&gt;"","已填写","可后补"))</x:f>
        <x:v>待填写</x:v>
      </x:c>
    </x:row>
    <x:row r="12" ht="39.599998474121094" hidden="0" customHeight="1">
      <x:c r="A12" s="26" t="n">
        <x:v>8</x:v>
      </x:c>
      <x:c r="B12" s="26" t="str">
        <x:v>重心</x:v>
      </x:c>
      <x:c r="C12" s="26" t="str">
        <x:v>整机重心 Y（右为正）</x:v>
      </x:c>
      <x:c r="D12" s="64"/>
      <x:c r="E12" s="26" t="str">
        <x:v>m</x:v>
      </x:c>
      <x:c r="F12" s="26" t="str">
        <x:v>-0.006</x:v>
      </x:c>
      <x:c r="G12" s="26" t="str">
        <x:v>最低必填</x:v>
      </x:c>
      <x:c r="H12" s="66" t="str">
        <x:f>IF(G12="最低必填",IF(D12&lt;&gt;"","已填写","待填写"),IF(D12&lt;&gt;"","已填写","可后补"))</x:f>
        <x:v>待填写</x:v>
      </x:c>
    </x:row>
    <x:row r="13" ht="39.599998474121094" hidden="0" customHeight="1">
      <x:c r="A13" s="26" t="n">
        <x:v>9</x:v>
      </x:c>
      <x:c r="B13" s="26" t="str">
        <x:v>重心</x:v>
      </x:c>
      <x:c r="C13" s="26" t="str">
        <x:v>整机重心 Z（下为正）</x:v>
      </x:c>
      <x:c r="D13" s="64"/>
      <x:c r="E13" s="26" t="str">
        <x:v>m</x:v>
      </x:c>
      <x:c r="F13" s="26" t="str">
        <x:v>0.035</x:v>
      </x:c>
      <x:c r="G13" s="26" t="str">
        <x:v>最低必填</x:v>
      </x:c>
      <x:c r="H13" s="66" t="str">
        <x:f>IF(G13="最低必填",IF(D13&lt;&gt;"","已填写","待填写"),IF(D13&lt;&gt;"","已填写","可后补"))</x:f>
        <x:v>待填写</x:v>
      </x:c>
    </x:row>
    <x:row r="14" ht="15" hidden="0" customHeight="1">
      <x:c r="A14" s="26" t="n">
        <x:v>10</x:v>
      </x:c>
      <x:c r="B14" s="26" t="str">
        <x:v>电池</x:v>
      </x:c>
      <x:c r="C14" s="26" t="str">
        <x:v>电池串数</x:v>
      </x:c>
      <x:c r="D14" s="64"/>
      <x:c r="E14" s="26" t="str">
        <x:v>S</x:v>
      </x:c>
      <x:c r="F14" s="26" t="str">
        <x:v>6</x:v>
      </x:c>
      <x:c r="G14" s="26" t="str">
        <x:v>最低必填</x:v>
      </x:c>
      <x:c r="H14" s="66" t="str">
        <x:f>IF(G14="最低必填",IF(D14&lt;&gt;"","已填写","待填写"),IF(D14&lt;&gt;"","已填写","可后补"))</x:f>
        <x:v>待填写</x:v>
      </x:c>
    </x:row>
    <x:row r="15" ht="15" hidden="0" customHeight="1">
      <x:c r="A15" s="26" t="n">
        <x:v>11</x:v>
      </x:c>
      <x:c r="B15" s="26" t="str">
        <x:v>电池</x:v>
      </x:c>
      <x:c r="C15" s="26" t="str">
        <x:v>标称电压</x:v>
      </x:c>
      <x:c r="D15" s="64"/>
      <x:c r="E15" s="26" t="str">
        <x:v>V</x:v>
      </x:c>
      <x:c r="F15" s="26" t="str">
        <x:v>22.2</x:v>
      </x:c>
      <x:c r="G15" s="26" t="str">
        <x:v>最低必填</x:v>
      </x:c>
      <x:c r="H15" s="66" t="str">
        <x:f>IF(G15="最低必填",IF(D15&lt;&gt;"","已填写","待填写"),IF(D15&lt;&gt;"","已填写","可后补"))</x:f>
        <x:v>待填写</x:v>
      </x:c>
    </x:row>
    <x:row r="16" ht="15" hidden="0" customHeight="1">
      <x:c r="A16" s="26" t="n">
        <x:v>12</x:v>
      </x:c>
      <x:c r="B16" s="26" t="str">
        <x:v>电池</x:v>
      </x:c>
      <x:c r="C16" s="26" t="str">
        <x:v>容量</x:v>
      </x:c>
      <x:c r="D16" s="64"/>
      <x:c r="E16" s="26" t="str">
        <x:v>Ah</x:v>
      </x:c>
      <x:c r="F16" s="26" t="str">
        <x:v>16</x:v>
      </x:c>
      <x:c r="G16" s="26" t="str">
        <x:v>最低必填</x:v>
      </x:c>
      <x:c r="H16" s="66" t="str">
        <x:f>IF(G16="最低必填",IF(D16&lt;&gt;"","已填写","待填写"),IF(D16&lt;&gt;"","已填写","可后补"))</x:f>
        <x:v>待填写</x:v>
      </x:c>
    </x:row>
    <x:row r="17" ht="15" hidden="0" customHeight="1">
      <x:c r="A17" s="26" t="n">
        <x:v>13</x:v>
      </x:c>
      <x:c r="B17" s="26" t="str">
        <x:v>电池</x:v>
      </x:c>
      <x:c r="C17" s="26" t="str">
        <x:v>内阻</x:v>
      </x:c>
      <x:c r="D17" s="64"/>
      <x:c r="E17" s="26" t="str">
        <x:v>mΩ</x:v>
      </x:c>
      <x:c r="F17" s="26" t="str">
        <x:v>18</x:v>
      </x:c>
      <x:c r="G17" s="26" t="str">
        <x:v>建议</x:v>
      </x:c>
      <x:c r="H17" s="66" t="str">
        <x:f>IF(G17="最低必填",IF(D17&lt;&gt;"","已填写","待填写"),IF(D17&lt;&gt;"","已填写","可后补"))</x:f>
        <x:v>可后补</x:v>
      </x:c>
    </x:row>
    <x:row r="18" ht="26.399999618530273" hidden="0" customHeight="1">
      <x:c r="A18" s="26" t="n">
        <x:v>14</x:v>
      </x:c>
      <x:c r="B18" s="26" t="str">
        <x:v>飞控</x:v>
      </x:c>
      <x:c r="C18" s="26" t="str">
        <x:v>飞控型号</x:v>
      </x:c>
      <x:c r="D18" s="64"/>
      <x:c r="E18" s="26"/>
      <x:c r="F18" s="26" t="str">
        <x:v>Pixhawk 6X</x:v>
      </x:c>
      <x:c r="G18" s="26" t="str">
        <x:v>最低必填</x:v>
      </x:c>
      <x:c r="H18" s="66" t="str">
        <x:f>IF(G18="最低必填",IF(D18&lt;&gt;"","已填写","待填写"),IF(D18&lt;&gt;"","已填写","可后补"))</x:f>
        <x:v>待填写</x:v>
      </x:c>
    </x:row>
    <x:row r="19" ht="39.599998474121094" hidden="0" customHeight="1">
      <x:c r="A19" s="26" t="n">
        <x:v>15</x:v>
      </x:c>
      <x:c r="B19" s="26" t="str">
        <x:v>飞控</x:v>
      </x:c>
      <x:c r="C19" s="26" t="str">
        <x:v>PX4 固件版本/提交号</x:v>
      </x:c>
      <x:c r="D19" s="64"/>
      <x:c r="E19" s="26"/>
      <x:c r="F19" s="26" t="str">
        <x:v>v1.x / git SHA</x:v>
      </x:c>
      <x:c r="G19" s="26" t="str">
        <x:v>建议</x:v>
      </x:c>
      <x:c r="H19" s="66" t="str">
        <x:f>IF(G19="最低必填",IF(D19&lt;&gt;"","已填写","待填写"),IF(D19&lt;&gt;"","已填写","可后补"))</x:f>
        <x:v>可后补</x:v>
      </x:c>
    </x:row>
  </x:sheetData>
  <x:mergeCells>
    <x:mergeCell ref="A1:H1"/>
    <x:mergeCell ref="A3:H3"/>
  </x:mergeCells>
  <x:conditionalFormatting sqref="H5:H19">
    <x:cfRule type="containsText" dxfId="0" priority="1" operator="containsText" text="已填写"/>
    <x:cfRule type="containsText" dxfId="1" priority="2" operator="containsText" text="待填写"/>
    <x:cfRule type="containsText" dxfId="2" priority="3" operator="containsText" text="可后补"/>
  </x:conditionalFormatting>
  <x:pageMargins left="0.7" right="0.7" top="0.75" bottom="0.75" header="0.3" footer="0.3"/>
  <x:tableParts count="1">
    <x:tablePart xmlns:r="http://schemas.openxmlformats.org/officeDocument/2006/relationships" r:id="Rc49f4e9ff5d54e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6" hidden="0" customWidth="1"/>
    <x:col min="11" max="11" width="12" hidden="0" customWidth="1"/>
  </x:cols>
  <x:sheetData>
    <x:row r="1" ht="32" customHeight="1">
      <x:c r="A1" s="4" t="str">
        <x:v>电机、螺旋桨、电调与八旋翼安装参数</x:v>
      </x:c>
      <x:c r="B1" s="4" t="str">
        <x:v>电机、螺旋桨、电调与八旋翼安装参数</x:v>
      </x:c>
      <x:c r="C1" s="4" t="str">
        <x:v>电机、螺旋桨、电调与八旋翼安装参数</x:v>
      </x:c>
      <x:c r="D1" s="4" t="str">
        <x:v>电机、螺旋桨、电调与八旋翼安装参数</x:v>
      </x:c>
      <x:c r="E1" s="4" t="str">
        <x:v>电机、螺旋桨、电调与八旋翼安装参数</x:v>
      </x:c>
      <x:c r="F1" s="4" t="str">
        <x:v>电机、螺旋桨、电调与八旋翼安装参数</x:v>
      </x:c>
      <x:c r="G1" s="4" t="str">
        <x:v>电机、螺旋桨、电调与八旋翼安装参数</x:v>
      </x:c>
      <x:c r="H1" s="4" t="str">
        <x:v>电机、螺旋桨、电调与八旋翼安装参数</x:v>
      </x:c>
      <x:c r="I1" s="4" t="str">
        <x:v>电机、螺旋桨、电调与八旋翼安装参数</x:v>
      </x:c>
      <x:c r="J1" s="4" t="str">
        <x:v>电机、螺旋桨、电调与八旋翼安装参数</x:v>
      </x:c>
      <x:c r="K1" s="4" t="str">
        <x:v>电机、螺旋桨、电调与八旋翼安装参数</x:v>
      </x:c>
    </x:row>
    <x:row r="3">
      <x:c r="A3" s="62" t="str">
        <x:v>推力轴使用单位向量，坐标系为机体 FRD。旋转方向从旋翼上方向下看：CW=顺时针，CCW=逆时针。</x:v>
      </x:c>
      <x:c r="B3" s="62" t="str">
        <x:v>推力轴使用单位向量，坐标系为机体 FRD。旋转方向从旋翼上方向下看：CW=顺时针，CCW=逆时针。</x:v>
      </x:c>
      <x:c r="C3" s="62" t="str">
        <x:v>推力轴使用单位向量，坐标系为机体 FRD。旋转方向从旋翼上方向下看：CW=顺时针，CCW=逆时针。</x:v>
      </x:c>
      <x:c r="D3" s="62" t="str">
        <x:v>推力轴使用单位向量，坐标系为机体 FRD。旋转方向从旋翼上方向下看：CW=顺时针，CCW=逆时针。</x:v>
      </x:c>
      <x:c r="E3" s="62" t="str">
        <x:v>推力轴使用单位向量，坐标系为机体 FRD。旋转方向从旋翼上方向下看：CW=顺时针，CCW=逆时针。</x:v>
      </x:c>
      <x:c r="F3" s="62" t="str">
        <x:v>推力轴使用单位向量，坐标系为机体 FRD。旋转方向从旋翼上方向下看：CW=顺时针，CCW=逆时针。</x:v>
      </x:c>
      <x:c r="G3" s="62" t="str">
        <x:v>推力轴使用单位向量，坐标系为机体 FRD。旋转方向从旋翼上方向下看：CW=顺时针，CCW=逆时针。</x:v>
      </x:c>
      <x:c r="H3" s="62" t="str">
        <x:v>推力轴使用单位向量，坐标系为机体 FRD。旋转方向从旋翼上方向下看：CW=顺时针，CCW=逆时针。</x:v>
      </x:c>
      <x:c r="I3" s="62" t="str">
        <x:v>推力轴使用单位向量，坐标系为机体 FRD。旋转方向从旋翼上方向下看：CW=顺时针，CCW=逆时针。</x:v>
      </x:c>
      <x:c r="J3" s="62" t="str">
        <x:v>推力轴使用单位向量，坐标系为机体 FRD。旋转方向从旋翼上方向下看：CW=顺时针，CCW=逆时针。</x:v>
      </x:c>
      <x:c r="K3" s="62" t="str">
        <x:v>推力轴使用单位向量，坐标系为机体 FRD。旋转方向从旋翼上方向下看：CW=顺时针，CCW=逆时针。</x:v>
      </x:c>
    </x:row>
    <x:row r="4" ht="15" hidden="0" customHeight="1">
      <x:c r="A4" s="14" t="str">
        <x:v>编号</x:v>
      </x:c>
      <x:c r="B4" s="14" t="str">
        <x:v>分类</x:v>
      </x:c>
      <x:c r="C4" s="14" t="str">
        <x:v>参数</x:v>
      </x:c>
      <x:c r="D4" s="14" t="str">
        <x:v>填写值</x:v>
      </x:c>
      <x:c r="E4" s="14" t="str">
        <x:v>单位</x:v>
      </x:c>
      <x:c r="F4" s="14" t="str">
        <x:v>填写示例</x:v>
      </x:c>
      <x:c r="G4" s="14" t="str">
        <x:v>必填等级</x:v>
      </x:c>
      <x:c r="H4" s="14" t="str">
        <x:v>状态</x:v>
      </x:c>
    </x:row>
    <x:row r="5" ht="15" hidden="0" customHeight="1">
      <x:c r="A5" s="24" t="n">
        <x:v>1</x:v>
      </x:c>
      <x:c r="B5" s="24" t="str">
        <x:v>电机</x:v>
      </x:c>
      <x:c r="C5" s="24" t="str">
        <x:v>电机型号</x:v>
      </x:c>
      <x:c r="D5" s="63"/>
      <x:c r="E5" s="24"/>
      <x:c r="F5" s="24" t="str">
        <x:v>MNxxxx KVxxx</x:v>
      </x:c>
      <x:c r="G5" s="24" t="str">
        <x:v>最低必填</x:v>
      </x:c>
      <x:c r="H5" s="24" t="str">
        <x:f>IF(G5="最低必填",IF(D5&lt;&gt;"","已填写","待填写"),IF(D5&lt;&gt;"","已填写","可后补"))</x:f>
        <x:v>待填写</x:v>
      </x:c>
    </x:row>
    <x:row r="6" ht="15" hidden="0" customHeight="1">
      <x:c r="A6" s="26" t="n">
        <x:v>2</x:v>
      </x:c>
      <x:c r="B6" s="26" t="str">
        <x:v>电机</x:v>
      </x:c>
      <x:c r="C6" s="26" t="str">
        <x:v>KV 值</x:v>
      </x:c>
      <x:c r="D6" s="64"/>
      <x:c r="E6" s="26" t="str">
        <x:v>rpm/V</x:v>
      </x:c>
      <x:c r="F6" s="26" t="str">
        <x:v>320</x:v>
      </x:c>
      <x:c r="G6" s="26" t="str">
        <x:v>最低必填</x:v>
      </x:c>
      <x:c r="H6" s="26" t="str">
        <x:f>IF(G6="最低必填",IF(D6&lt;&gt;"","已填写","待填写"),IF(D6&lt;&gt;"","已填写","可后补"))</x:f>
        <x:v>待填写</x:v>
      </x:c>
    </x:row>
    <x:row r="7" ht="15" hidden="0" customHeight="1">
      <x:c r="A7" s="26" t="n">
        <x:v>3</x:v>
      </x:c>
      <x:c r="B7" s="26" t="str">
        <x:v>螺旋桨</x:v>
      </x:c>
      <x:c r="C7" s="26" t="str">
        <x:v>螺旋桨型号</x:v>
      </x:c>
      <x:c r="D7" s="64"/>
      <x:c r="E7" s="26"/>
      <x:c r="F7" s="26" t="str">
        <x:v>18x6.1 CF</x:v>
      </x:c>
      <x:c r="G7" s="26" t="str">
        <x:v>最低必填</x:v>
      </x:c>
      <x:c r="H7" s="26" t="str">
        <x:f>IF(G7="最低必填",IF(D7&lt;&gt;"","已填写","待填写"),IF(D7&lt;&gt;"","已填写","可后补"))</x:f>
        <x:v>待填写</x:v>
      </x:c>
    </x:row>
    <x:row r="8" ht="15" hidden="0" customHeight="1">
      <x:c r="A8" s="26" t="n">
        <x:v>4</x:v>
      </x:c>
      <x:c r="B8" s="26" t="str">
        <x:v>螺旋桨</x:v>
      </x:c>
      <x:c r="C8" s="26" t="str">
        <x:v>直径</x:v>
      </x:c>
      <x:c r="D8" s="64"/>
      <x:c r="E8" s="26" t="str">
        <x:v>inch</x:v>
      </x:c>
      <x:c r="F8" s="26" t="str">
        <x:v>18</x:v>
      </x:c>
      <x:c r="G8" s="26" t="str">
        <x:v>最低必填</x:v>
      </x:c>
      <x:c r="H8" s="26" t="str">
        <x:f>IF(G8="最低必填",IF(D8&lt;&gt;"","已填写","待填写"),IF(D8&lt;&gt;"","已填写","可后补"))</x:f>
        <x:v>待填写</x:v>
      </x:c>
    </x:row>
    <x:row r="9" ht="15" hidden="0" customHeight="1">
      <x:c r="A9" s="26" t="n">
        <x:v>5</x:v>
      </x:c>
      <x:c r="B9" s="26" t="str">
        <x:v>螺旋桨</x:v>
      </x:c>
      <x:c r="C9" s="26" t="str">
        <x:v>螺距</x:v>
      </x:c>
      <x:c r="D9" s="64"/>
      <x:c r="E9" s="26" t="str">
        <x:v>inch</x:v>
      </x:c>
      <x:c r="F9" s="26" t="str">
        <x:v>6.1</x:v>
      </x:c>
      <x:c r="G9" s="26" t="str">
        <x:v>最低必填</x:v>
      </x:c>
      <x:c r="H9" s="26" t="str">
        <x:f>IF(G9="最低必填",IF(D9&lt;&gt;"","已填写","待填写"),IF(D9&lt;&gt;"","已填写","可后补"))</x:f>
        <x:v>待填写</x:v>
      </x:c>
    </x:row>
    <x:row r="10" ht="15" hidden="0" customHeight="1">
      <x:c r="A10" s="26" t="n">
        <x:v>6</x:v>
      </x:c>
      <x:c r="B10" s="26" t="str">
        <x:v>螺旋桨</x:v>
      </x:c>
      <x:c r="C10" s="26" t="str">
        <x:v>叶片数</x:v>
      </x:c>
      <x:c r="D10" s="64"/>
      <x:c r="E10" s="26" t="str">
        <x:v>片</x:v>
      </x:c>
      <x:c r="F10" s="26" t="str">
        <x:v>2</x:v>
      </x:c>
      <x:c r="G10" s="26" t="str">
        <x:v>最低必填</x:v>
      </x:c>
      <x:c r="H10" s="26" t="str">
        <x:f>IF(G10="最低必填",IF(D10&lt;&gt;"","已填写","待填写"),IF(D10&lt;&gt;"","已填写","可后补"))</x:f>
        <x:v>待填写</x:v>
      </x:c>
    </x:row>
    <x:row r="11" ht="15" hidden="0" customHeight="1">
      <x:c r="A11" s="26" t="n">
        <x:v>7</x:v>
      </x:c>
      <x:c r="B11" s="26" t="str">
        <x:v>电调</x:v>
      </x:c>
      <x:c r="C11" s="26" t="str">
        <x:v>电调型号</x:v>
      </x:c>
      <x:c r="D11" s="64"/>
      <x:c r="E11" s="26"/>
      <x:c r="F11" s="26" t="str">
        <x:v>xxx 60A</x:v>
      </x:c>
      <x:c r="G11" s="26" t="str">
        <x:v>最低必填</x:v>
      </x:c>
      <x:c r="H11" s="26" t="str">
        <x:f>IF(G11="最低必填",IF(D11&lt;&gt;"","已填写","待填写"),IF(D11&lt;&gt;"","已填写","可后补"))</x:f>
        <x:v>待填写</x:v>
      </x:c>
    </x:row>
    <x:row r="12" ht="26.399999618530273" hidden="0" customHeight="1">
      <x:c r="A12" s="26" t="n">
        <x:v>8</x:v>
      </x:c>
      <x:c r="B12" s="26" t="str">
        <x:v>电机</x:v>
      </x:c>
      <x:c r="C12" s="26" t="str">
        <x:v>允许最大转速</x:v>
      </x:c>
      <x:c r="D12" s="64"/>
      <x:c r="E12" s="26" t="str">
        <x:v>rad/s</x:v>
      </x:c>
      <x:c r="F12" s="26" t="str">
        <x:v>1100</x:v>
      </x:c>
      <x:c r="G12" s="26" t="str">
        <x:v>最低必填</x:v>
      </x:c>
      <x:c r="H12" s="26" t="str">
        <x:f>IF(G12="最低必填",IF(D12&lt;&gt;"","已填写","待填写"),IF(D12&lt;&gt;"","已填写","可后补"))</x:f>
        <x:v>待填写</x:v>
      </x:c>
    </x:row>
    <x:row r="13" ht="39.599998474121094" hidden="0" customHeight="1">
      <x:c r="A13" s="26" t="n">
        <x:v>9</x:v>
      </x:c>
      <x:c r="B13" s="26" t="str">
        <x:v>试验</x:v>
      </x:c>
      <x:c r="C13" s="26" t="str">
        <x:v>拉力表或推力台 CSV 文件</x:v>
      </x:c>
      <x:c r="D13" s="64"/>
      <x:c r="E13" s="26"/>
      <x:c r="F13" s="26" t="str">
        <x:v>data/motor_test.csv</x:v>
      </x:c>
      <x:c r="G13" s="26" t="str">
        <x:v>最低必填</x:v>
      </x:c>
      <x:c r="H13" s="26" t="str">
        <x:f>IF(G13="最低必填",IF(D13&lt;&gt;"","已填写","待填写"),IF(D13&lt;&gt;"","已填写","可后补"))</x:f>
        <x:v>待填写</x:v>
      </x:c>
    </x:row>
    <x:row r="14" ht="26.399999618530273" hidden="0" customHeight="1">
      <x:c r="A14" s="26" t="n">
        <x:v>10</x:v>
      </x:c>
      <x:c r="B14" s="26" t="str">
        <x:v>试验</x:v>
      </x:c>
      <x:c r="C14" s="26" t="str">
        <x:v>单电机最大推力</x:v>
      </x:c>
      <x:c r="D14" s="64"/>
      <x:c r="E14" s="26" t="str">
        <x:v>N</x:v>
      </x:c>
      <x:c r="F14" s="26" t="str">
        <x:v>35.0</x:v>
      </x:c>
      <x:c r="G14" s="26" t="str">
        <x:v>最低必填</x:v>
      </x:c>
      <x:c r="H14" s="26" t="str">
        <x:f>IF(G14="最低必填",IF(D14&lt;&gt;"","已填写","待填写"),IF(D14&lt;&gt;"","已填写","可后补"))</x:f>
        <x:v>待填写</x:v>
      </x:c>
    </x:row>
    <x:row r="15" ht="26.399999618530273" hidden="0" customHeight="1">
      <x:c r="A15" s="26" t="n">
        <x:v>11</x:v>
      </x:c>
      <x:c r="B15" s="26" t="str">
        <x:v>动态</x:v>
      </x:c>
      <x:c r="C15" s="26" t="str">
        <x:v>升速时间常数</x:v>
      </x:c>
      <x:c r="D15" s="64"/>
      <x:c r="E15" s="26" t="str">
        <x:v>s</x:v>
      </x:c>
      <x:c r="F15" s="26" t="str">
        <x:v>0.035</x:v>
      </x:c>
      <x:c r="G15" s="26" t="str">
        <x:v>建议</x:v>
      </x:c>
      <x:c r="H15" s="26" t="str">
        <x:f>IF(G15="最低必填",IF(D15&lt;&gt;"","已填写","待填写"),IF(D15&lt;&gt;"","已填写","可后补"))</x:f>
        <x:v>可后补</x:v>
      </x:c>
    </x:row>
    <x:row r="16" ht="26.399999618530273" hidden="0" customHeight="1">
      <x:c r="A16" s="26" t="n">
        <x:v>12</x:v>
      </x:c>
      <x:c r="B16" s="26" t="str">
        <x:v>动态</x:v>
      </x:c>
      <x:c r="C16" s="26" t="str">
        <x:v>降速时间常数</x:v>
      </x:c>
      <x:c r="D16" s="64"/>
      <x:c r="E16" s="26" t="str">
        <x:v>s</x:v>
      </x:c>
      <x:c r="F16" s="26" t="str">
        <x:v>0.035</x:v>
      </x:c>
      <x:c r="G16" s="26" t="str">
        <x:v>建议</x:v>
      </x:c>
      <x:c r="H16" s="26" t="str">
        <x:f>IF(G16="最低必填",IF(D16&lt;&gt;"","已填写","待填写"),IF(D16&lt;&gt;"","已填写","可后补"))</x:f>
        <x:v>可后补</x:v>
      </x:c>
    </x:row>
    <x:row r="17"/>
    <x:row r="18"/>
    <x:row r="19" ht="15" hidden="0" customHeight="1">
      <x:c r="A19" s="67" t="str">
        <x:v>八旋翼几何与方向（8 行全部最低必填）</x:v>
      </x:c>
      <x:c r="B19" s="67" t="str">
        <x:v>八旋翼几何与方向（8 行全部最低必填）</x:v>
      </x:c>
      <x:c r="C19" s="67" t="str">
        <x:v>八旋翼几何与方向（8 行全部最低必填）</x:v>
      </x:c>
      <x:c r="D19" s="67" t="str">
        <x:v>八旋翼几何与方向（8 行全部最低必填）</x:v>
      </x:c>
      <x:c r="E19" s="67" t="str">
        <x:v>八旋翼几何与方向（8 行全部最低必填）</x:v>
      </x:c>
      <x:c r="F19" s="67" t="str">
        <x:v>八旋翼几何与方向（8 行全部最低必填）</x:v>
      </x:c>
      <x:c r="G19" s="67" t="str">
        <x:v>八旋翼几何与方向（8 行全部最低必填）</x:v>
      </x:c>
      <x:c r="H19" s="67" t="str">
        <x:v>八旋翼几何与方向（8 行全部最低必填）</x:v>
      </x:c>
      <x:c r="I19" s="67" t="str">
        <x:v>八旋翼几何与方向（8 行全部最低必填）</x:v>
      </x:c>
      <x:c r="J19" s="67" t="str">
        <x:v>八旋翼几何与方向（8 行全部最低必填）</x:v>
      </x:c>
      <x:c r="K19" s="67" t="str">
        <x:v>八旋翼几何与方向（8 行全部最低必填）</x:v>
      </x:c>
    </x:row>
    <x:row r="20" ht="15" hidden="0" customHeight="1">
      <x:c r="A20" s="14" t="str">
        <x:v>电机编号</x:v>
      </x:c>
      <x:c r="B20" s="14" t="str">
        <x:v>X</x:v>
      </x:c>
      <x:c r="C20" s="14" t="str">
        <x:v>Y</x:v>
      </x:c>
      <x:c r="D20" s="14" t="str">
        <x:v>Z</x:v>
      </x:c>
      <x:c r="E20" s="14" t="str">
        <x:v>推力轴 X</x:v>
      </x:c>
      <x:c r="F20" s="14" t="str">
        <x:v>推力轴 Y</x:v>
      </x:c>
      <x:c r="G20" s="14" t="str">
        <x:v>推力轴 Z</x:v>
      </x:c>
      <x:c r="H20" s="14" t="str">
        <x:v>旋转方向</x:v>
      </x:c>
      <x:c r="I20" s="14" t="str">
        <x:v>最大转速</x:v>
      </x:c>
      <x:c r="J20" s="14" t="str">
        <x:v>备注</x:v>
      </x:c>
      <x:c r="K20" s="14" t="str">
        <x:v>状态</x:v>
      </x:c>
    </x:row>
    <x:row r="21" ht="15" hidden="0" customHeight="1">
      <x:c r="A21" s="24" t="n">
        <x:v>1</x:v>
      </x:c>
      <x:c r="B21" s="68"/>
      <x:c r="C21" s="68"/>
      <x:c r="D21" s="68"/>
      <x:c r="E21" s="68"/>
      <x:c r="F21" s="68"/>
      <x:c r="G21" s="68"/>
      <x:c r="H21" s="63"/>
      <x:c r="I21" s="70"/>
      <x:c r="J21" s="63"/>
      <x:c r="K21" s="24" t="str">
        <x:f>IF(COUNTA(B21:I21)=8,"已填写","待填写")</x:f>
        <x:v>待填写</x:v>
      </x:c>
    </x:row>
    <x:row r="22" ht="15" hidden="0" customHeight="1">
      <x:c r="A22" s="26" t="n">
        <x:v>2</x:v>
      </x:c>
      <x:c r="B22" s="69"/>
      <x:c r="C22" s="69"/>
      <x:c r="D22" s="69"/>
      <x:c r="E22" s="69"/>
      <x:c r="F22" s="69"/>
      <x:c r="G22" s="69"/>
      <x:c r="H22" s="64"/>
      <x:c r="I22" s="71"/>
      <x:c r="J22" s="64"/>
      <x:c r="K22" s="26" t="str">
        <x:f>IF(COUNTA(B22:I22)=8,"已填写","待填写")</x:f>
        <x:v>待填写</x:v>
      </x:c>
    </x:row>
    <x:row r="23" ht="15" hidden="0" customHeight="1">
      <x:c r="A23" s="26" t="n">
        <x:v>3</x:v>
      </x:c>
      <x:c r="B23" s="69"/>
      <x:c r="C23" s="69"/>
      <x:c r="D23" s="69"/>
      <x:c r="E23" s="69"/>
      <x:c r="F23" s="69"/>
      <x:c r="G23" s="69"/>
      <x:c r="H23" s="64"/>
      <x:c r="I23" s="71"/>
      <x:c r="J23" s="64"/>
      <x:c r="K23" s="26" t="str">
        <x:f>IF(COUNTA(B23:I23)=8,"已填写","待填写")</x:f>
        <x:v>待填写</x:v>
      </x:c>
    </x:row>
    <x:row r="24" ht="15" hidden="0" customHeight="1">
      <x:c r="A24" s="26" t="n">
        <x:v>4</x:v>
      </x:c>
      <x:c r="B24" s="69"/>
      <x:c r="C24" s="69"/>
      <x:c r="D24" s="69"/>
      <x:c r="E24" s="69"/>
      <x:c r="F24" s="69"/>
      <x:c r="G24" s="69"/>
      <x:c r="H24" s="64"/>
      <x:c r="I24" s="71"/>
      <x:c r="J24" s="64"/>
      <x:c r="K24" s="26" t="str">
        <x:f>IF(COUNTA(B24:I24)=8,"已填写","待填写")</x:f>
        <x:v>待填写</x:v>
      </x:c>
    </x:row>
    <x:row r="25" ht="15" hidden="0" customHeight="1">
      <x:c r="A25" s="26" t="n">
        <x:v>5</x:v>
      </x:c>
      <x:c r="B25" s="69"/>
      <x:c r="C25" s="69"/>
      <x:c r="D25" s="69"/>
      <x:c r="E25" s="69"/>
      <x:c r="F25" s="69"/>
      <x:c r="G25" s="69"/>
      <x:c r="H25" s="64"/>
      <x:c r="I25" s="71"/>
      <x:c r="J25" s="64"/>
      <x:c r="K25" s="26" t="str">
        <x:f>IF(COUNTA(B25:I25)=8,"已填写","待填写")</x:f>
        <x:v>待填写</x:v>
      </x:c>
    </x:row>
    <x:row r="26" ht="15" hidden="0" customHeight="1">
      <x:c r="A26" s="26" t="n">
        <x:v>6</x:v>
      </x:c>
      <x:c r="B26" s="69"/>
      <x:c r="C26" s="69"/>
      <x:c r="D26" s="69"/>
      <x:c r="E26" s="69"/>
      <x:c r="F26" s="69"/>
      <x:c r="G26" s="69"/>
      <x:c r="H26" s="64"/>
      <x:c r="I26" s="71"/>
      <x:c r="J26" s="64"/>
      <x:c r="K26" s="26" t="str">
        <x:f>IF(COUNTA(B26:I26)=8,"已填写","待填写")</x:f>
        <x:v>待填写</x:v>
      </x:c>
    </x:row>
    <x:row r="27" ht="15" hidden="0" customHeight="1">
      <x:c r="A27" s="26" t="n">
        <x:v>7</x:v>
      </x:c>
      <x:c r="B27" s="69"/>
      <x:c r="C27" s="69"/>
      <x:c r="D27" s="69"/>
      <x:c r="E27" s="69"/>
      <x:c r="F27" s="69"/>
      <x:c r="G27" s="69"/>
      <x:c r="H27" s="64"/>
      <x:c r="I27" s="71"/>
      <x:c r="J27" s="64"/>
      <x:c r="K27" s="26" t="str">
        <x:f>IF(COUNTA(B27:I27)=8,"已填写","待填写")</x:f>
        <x:v>待填写</x:v>
      </x:c>
    </x:row>
    <x:row r="28" ht="15" hidden="0" customHeight="1">
      <x:c r="A28" s="26" t="n">
        <x:v>8</x:v>
      </x:c>
      <x:c r="B28" s="69"/>
      <x:c r="C28" s="69"/>
      <x:c r="D28" s="69"/>
      <x:c r="E28" s="69"/>
      <x:c r="F28" s="69"/>
      <x:c r="G28" s="69"/>
      <x:c r="H28" s="64"/>
      <x:c r="I28" s="71"/>
      <x:c r="J28" s="64"/>
      <x:c r="K28" s="26" t="str">
        <x:f>IF(COUNTA(B28:I28)=8,"已填写","待填写")</x:f>
        <x:v>待填写</x:v>
      </x:c>
    </x:row>
  </x:sheetData>
  <x:mergeCells>
    <x:mergeCell ref="A1:K1"/>
    <x:mergeCell ref="A3:K3"/>
    <x:mergeCell ref="A19:K19"/>
  </x:mergeCells>
  <x:conditionalFormatting sqref="H5:H16">
    <x:cfRule type="containsText" dxfId="3" priority="1" operator="containsText" text="已填写"/>
    <x:cfRule type="containsText" dxfId="4" priority="2" operator="containsText" text="待填写"/>
    <x:cfRule type="containsText" dxfId="5" priority="3" operator="containsText" text="可后补"/>
  </x:conditionalFormatting>
  <x:conditionalFormatting sqref="K21:K28">
    <x:cfRule type="containsText" dxfId="6" priority="4" operator="containsText" text="已填写"/>
    <x:cfRule type="containsText" dxfId="7" priority="5" operator="containsText" text="待填写"/>
    <x:cfRule type="containsText" dxfId="8" priority="6" operator="containsText" text="可后补"/>
  </x:conditionalFormatting>
  <x:dataValidations count="1">
    <x:dataValidation type="list" sqref="H21:H28">
      <x:formula1>"CW,CCW"</x:formula1>
    </x:dataValidation>
  </x:dataValidations>
  <x:pageMargins left="0.7" right="0.7" top="0.75" bottom="0.75" header="0.3" footer="0.3"/>
  <x:legacyDrawing xmlns:r="http://schemas.openxmlformats.org/officeDocument/2006/relationships" r:id="Rc3a1cc798e7e4f9d"/>
  <x:tableParts count="2">
    <x:tablePart xmlns:r="http://schemas.openxmlformats.org/officeDocument/2006/relationships" r:id="R559dec685f8d4a8d"/>
    <x:tablePart xmlns:r="http://schemas.openxmlformats.org/officeDocument/2006/relationships" r:id="Rc85e3b5fd0f24f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9" hidden="0" customWidth="1"/>
    <x:col min="3" max="3" width="20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1" hidden="0" customWidth="1"/>
    <x:col min="10" max="10" width="14" hidden="0" customWidth="1"/>
    <x:col min="11" max="11" width="13" hidden="0" customWidth="1"/>
    <x:col min="12" max="12" width="15" hidden="0" customWidth="1"/>
    <x:col min="13" max="13" width="12" hidden="0" customWidth="1"/>
  </x:cols>
  <x:sheetData>
    <x:row r="1" ht="32" customHeight="1">
      <x:c r="A1" s="4" t="str">
        <x:v>飞行中机械臂关节与舵机最低参数</x:v>
      </x:c>
      <x:c r="B1" s="4" t="str">
        <x:v>飞行中机械臂关节与舵机最低参数</x:v>
      </x:c>
      <x:c r="C1" s="4" t="str">
        <x:v>飞行中机械臂关节与舵机最低参数</x:v>
      </x:c>
      <x:c r="D1" s="4" t="str">
        <x:v>飞行中机械臂关节与舵机最低参数</x:v>
      </x:c>
      <x:c r="E1" s="4" t="str">
        <x:v>飞行中机械臂关节与舵机最低参数</x:v>
      </x:c>
      <x:c r="F1" s="4" t="str">
        <x:v>飞行中机械臂关节与舵机最低参数</x:v>
      </x:c>
      <x:c r="G1" s="4" t="str">
        <x:v>飞行中机械臂关节与舵机最低参数</x:v>
      </x:c>
      <x:c r="H1" s="4" t="str">
        <x:v>飞行中机械臂关节与舵机最低参数</x:v>
      </x:c>
      <x:c r="I1" s="4" t="str">
        <x:v>飞行中机械臂关节与舵机最低参数</x:v>
      </x:c>
      <x:c r="J1" s="4" t="str">
        <x:v>飞行中机械臂关节与舵机最低参数</x:v>
      </x:c>
      <x:c r="K1" s="4" t="str">
        <x:v>飞行中机械臂关节与舵机最低参数</x:v>
      </x:c>
      <x:c r="L1" s="4" t="str">
        <x:v>飞行中机械臂关节与舵机最低参数</x:v>
      </x:c>
      <x:c r="M1" s="4" t="str">
        <x:v>飞行中机械臂关节与舵机最低参数</x:v>
      </x:c>
    </x:row>
    <x:row r="3">
      <x:c r="A3" s="62" t="str">
        <x:v>飞行中不动作的关节，在“飞行中运动”选择“否”；选择“是”时必须填写计划速度和计划加速度。</x:v>
      </x:c>
      <x:c r="B3" s="62" t="str">
        <x:v>飞行中不动作的关节，在“飞行中运动”选择“否”；选择“是”时必须填写计划速度和计划加速度。</x:v>
      </x:c>
      <x:c r="C3" s="62" t="str">
        <x:v>飞行中不动作的关节，在“飞行中运动”选择“否”；选择“是”时必须填写计划速度和计划加速度。</x:v>
      </x:c>
      <x:c r="D3" s="62" t="str">
        <x:v>飞行中不动作的关节，在“飞行中运动”选择“否”；选择“是”时必须填写计划速度和计划加速度。</x:v>
      </x:c>
      <x:c r="E3" s="62" t="str">
        <x:v>飞行中不动作的关节，在“飞行中运动”选择“否”；选择“是”时必须填写计划速度和计划加速度。</x:v>
      </x:c>
      <x:c r="F3" s="62" t="str">
        <x:v>飞行中不动作的关节，在“飞行中运动”选择“否”；选择“是”时必须填写计划速度和计划加速度。</x:v>
      </x:c>
      <x:c r="G3" s="62" t="str">
        <x:v>飞行中不动作的关节，在“飞行中运动”选择“否”；选择“是”时必须填写计划速度和计划加速度。</x:v>
      </x:c>
      <x:c r="H3" s="62" t="str">
        <x:v>飞行中不动作的关节，在“飞行中运动”选择“否”；选择“是”时必须填写计划速度和计划加速度。</x:v>
      </x:c>
      <x:c r="I3" s="62" t="str">
        <x:v>飞行中不动作的关节，在“飞行中运动”选择“否”；选择“是”时必须填写计划速度和计划加速度。</x:v>
      </x:c>
      <x:c r="J3" s="62" t="str">
        <x:v>飞行中不动作的关节，在“飞行中运动”选择“否”；选择“是”时必须填写计划速度和计划加速度。</x:v>
      </x:c>
      <x:c r="K3" s="62" t="str">
        <x:v>飞行中不动作的关节，在“飞行中运动”选择“否”；选择“是”时必须填写计划速度和计划加速度。</x:v>
      </x:c>
      <x:c r="L3" s="62" t="str">
        <x:v>飞行中不动作的关节，在“飞行中运动”选择“否”；选择“是”时必须填写计划速度和计划加速度。</x:v>
      </x:c>
      <x:c r="M3" s="62" t="str">
        <x:v>飞行中不动作的关节，在“飞行中运动”选择“否”；选择“是”时必须填写计划速度和计划加速度。</x:v>
      </x:c>
    </x:row>
    <x:row r="4" ht="26.399999618530273" hidden="0" customHeight="1">
      <x:c r="A4" s="14" t="str">
        <x:v>编号</x:v>
      </x:c>
      <x:c r="B4" s="14" t="str">
        <x:v>关节名称</x:v>
      </x:c>
      <x:c r="C4" s="14" t="str">
        <x:v>舵机型号</x:v>
      </x:c>
      <x:c r="D4" s="14" t="str">
        <x:v>减速比</x:v>
      </x:c>
      <x:c r="E4" s="14" t="str">
        <x:v>连续力矩
N·m</x:v>
      </x:c>
      <x:c r="F4" s="14" t="str">
        <x:v>峰值力矩
N·m</x:v>
      </x:c>
      <x:c r="G4" s="14" t="str">
        <x:v>最大速度
rad/s</x:v>
      </x:c>
      <x:c r="H4" s="14" t="str">
        <x:v>下限
rad</x:v>
      </x:c>
      <x:c r="I4" s="14" t="str">
        <x:v>上限
rad</x:v>
      </x:c>
      <x:c r="J4" s="14" t="str">
        <x:v>飞行中运动</x:v>
      </x:c>
      <x:c r="K4" s="14" t="str">
        <x:v>计划速度
rad/s</x:v>
      </x:c>
      <x:c r="L4" s="14" t="str">
        <x:v>计划加速度
rad/s²</x:v>
      </x:c>
      <x:c r="M4" s="14" t="str">
        <x:v>状态</x:v>
      </x:c>
    </x:row>
    <x:row r="5" ht="15" hidden="0" customHeight="1">
      <x:c r="A5" s="24" t="n">
        <x:v>1</x:v>
      </x:c>
      <x:c r="B5" s="24" t="str">
        <x:v>shoulder_pan</x:v>
      </x:c>
      <x:c r="C5" s="63"/>
      <x:c r="D5" s="68"/>
      <x:c r="E5" s="68"/>
      <x:c r="F5" s="68"/>
      <x:c r="G5" s="68"/>
      <x:c r="H5" s="68"/>
      <x:c r="I5" s="68"/>
      <x:c r="J5" s="68"/>
      <x:c r="K5" s="68"/>
      <x:c r="L5" s="68"/>
      <x:c r="M5" s="24" t="str">
        <x:f>IF(AND(C5&lt;&gt;"",E5&lt;&gt;"",G5&lt;&gt;"",H5&lt;&gt;"",I5&lt;&gt;"",J5&lt;&gt;"",OR(J5="否",AND(K5&lt;&gt;"",L5&lt;&gt;""))),"已填写","待填写")</x:f>
        <x:v>待填写</x:v>
      </x:c>
    </x:row>
    <x:row r="6" ht="15" hidden="0" customHeight="1">
      <x:c r="A6" s="26" t="n">
        <x:v>2</x:v>
      </x:c>
      <x:c r="B6" s="26" t="str">
        <x:v>shoulder_lift</x:v>
      </x:c>
      <x:c r="C6" s="64"/>
      <x:c r="D6" s="69"/>
      <x:c r="E6" s="69"/>
      <x:c r="F6" s="69"/>
      <x:c r="G6" s="69"/>
      <x:c r="H6" s="69"/>
      <x:c r="I6" s="69"/>
      <x:c r="J6" s="69"/>
      <x:c r="K6" s="69"/>
      <x:c r="L6" s="69"/>
      <x:c r="M6" s="26" t="str">
        <x:f>IF(AND(C6&lt;&gt;"",E6&lt;&gt;"",G6&lt;&gt;"",H6&lt;&gt;"",I6&lt;&gt;"",J6&lt;&gt;"",OR(J6="否",AND(K6&lt;&gt;"",L6&lt;&gt;""))),"已填写","待填写")</x:f>
        <x:v>待填写</x:v>
      </x:c>
    </x:row>
    <x:row r="7" ht="15" hidden="0" customHeight="1">
      <x:c r="A7" s="26" t="n">
        <x:v>3</x:v>
      </x:c>
      <x:c r="B7" s="26" t="str">
        <x:v>elbow_flex</x:v>
      </x:c>
      <x:c r="C7" s="64"/>
      <x:c r="D7" s="69"/>
      <x:c r="E7" s="69"/>
      <x:c r="F7" s="69"/>
      <x:c r="G7" s="69"/>
      <x:c r="H7" s="69"/>
      <x:c r="I7" s="69"/>
      <x:c r="J7" s="69"/>
      <x:c r="K7" s="69"/>
      <x:c r="L7" s="69"/>
      <x:c r="M7" s="26" t="str">
        <x:f>IF(AND(C7&lt;&gt;"",E7&lt;&gt;"",G7&lt;&gt;"",H7&lt;&gt;"",I7&lt;&gt;"",J7&lt;&gt;"",OR(J7="否",AND(K7&lt;&gt;"",L7&lt;&gt;""))),"已填写","待填写")</x:f>
        <x:v>待填写</x:v>
      </x:c>
    </x:row>
    <x:row r="8" ht="15" hidden="0" customHeight="1">
      <x:c r="A8" s="26" t="n">
        <x:v>4</x:v>
      </x:c>
      <x:c r="B8" s="26" t="str">
        <x:v>wrist_flex</x:v>
      </x:c>
      <x:c r="C8" s="64"/>
      <x:c r="D8" s="69"/>
      <x:c r="E8" s="69"/>
      <x:c r="F8" s="69"/>
      <x:c r="G8" s="69"/>
      <x:c r="H8" s="69"/>
      <x:c r="I8" s="69"/>
      <x:c r="J8" s="69"/>
      <x:c r="K8" s="69"/>
      <x:c r="L8" s="69"/>
      <x:c r="M8" s="26" t="str">
        <x:f>IF(AND(C8&lt;&gt;"",E8&lt;&gt;"",G8&lt;&gt;"",H8&lt;&gt;"",I8&lt;&gt;"",J8&lt;&gt;"",OR(J8="否",AND(K8&lt;&gt;"",L8&lt;&gt;""))),"已填写","待填写")</x:f>
        <x:v>待填写</x:v>
      </x:c>
    </x:row>
    <x:row r="9" ht="15" hidden="0" customHeight="1">
      <x:c r="A9" s="26" t="n">
        <x:v>5</x:v>
      </x:c>
      <x:c r="B9" s="26" t="str">
        <x:v>wrist_roll</x:v>
      </x:c>
      <x:c r="C9" s="64"/>
      <x:c r="D9" s="69"/>
      <x:c r="E9" s="69"/>
      <x:c r="F9" s="69"/>
      <x:c r="G9" s="69"/>
      <x:c r="H9" s="69"/>
      <x:c r="I9" s="69"/>
      <x:c r="J9" s="69"/>
      <x:c r="K9" s="69"/>
      <x:c r="L9" s="69"/>
      <x:c r="M9" s="26" t="str">
        <x:f>IF(AND(C9&lt;&gt;"",E9&lt;&gt;"",G9&lt;&gt;"",H9&lt;&gt;"",I9&lt;&gt;"",J9&lt;&gt;"",OR(J9="否",AND(K9&lt;&gt;"",L9&lt;&gt;""))),"已填写","待填写")</x:f>
        <x:v>待填写</x:v>
      </x:c>
    </x:row>
    <x:row r="10" ht="15" hidden="0" customHeight="1">
      <x:c r="A10" s="26" t="n">
        <x:v>6</x:v>
      </x:c>
      <x:c r="B10" s="26" t="str">
        <x:v>gripper</x:v>
      </x:c>
      <x:c r="C10" s="64"/>
      <x:c r="D10" s="69"/>
      <x:c r="E10" s="69"/>
      <x:c r="F10" s="69"/>
      <x:c r="G10" s="69"/>
      <x:c r="H10" s="69"/>
      <x:c r="I10" s="69"/>
      <x:c r="J10" s="69"/>
      <x:c r="K10" s="69"/>
      <x:c r="L10" s="69"/>
      <x:c r="M10" s="26" t="str">
        <x:f>IF(AND(C10&lt;&gt;"",E10&lt;&gt;"",G10&lt;&gt;"",H10&lt;&gt;"",I10&lt;&gt;"",J10&lt;&gt;"",OR(J10="否",AND(K10&lt;&gt;"",L10&lt;&gt;""))),"已填写","待填写")</x:f>
        <x:v>待填写</x:v>
      </x:c>
    </x:row>
  </x:sheetData>
  <x:mergeCells>
    <x:mergeCell ref="A1:M1"/>
    <x:mergeCell ref="A3:M3"/>
  </x:mergeCells>
  <x:conditionalFormatting sqref="M5:M10">
    <x:cfRule type="containsText" dxfId="9" priority="1" operator="containsText" text="已填写"/>
    <x:cfRule type="containsText" dxfId="10" priority="2" operator="containsText" text="待填写"/>
    <x:cfRule type="containsText" dxfId="11" priority="3" operator="containsText" text="可后补"/>
  </x:conditionalFormatting>
  <x:dataValidations count="1">
    <x:dataValidation type="list" sqref="J5:J10">
      <x:formula1>"是,否"</x:formula1>
    </x:dataValidation>
  </x:dataValidations>
  <x:pageMargins left="0.7" right="0.7" top="0.75" bottom="0.75" header="0.3" footer="0.3"/>
  <x:legacyDrawing xmlns:r="http://schemas.openxmlformats.org/officeDocument/2006/relationships" r:id="R27b2425d4ba64dd6"/>
  <x:tableParts count="1">
    <x:tablePart xmlns:r="http://schemas.openxmlformats.org/officeDocument/2006/relationships" r:id="Re088dbc95bd745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0" hidden="0" customWidth="1"/>
    <x:col min="14" max="14" width="12" hidden="0" customWidth="1"/>
  </x:cols>
  <x:sheetData>
    <x:row r="1" ht="32" customHeight="1">
      <x:c r="A1" s="4" t="str">
        <x:v>机械臂连杆、末端载荷与惯量参数</x:v>
      </x:c>
      <x:c r="B1" s="4" t="str">
        <x:v>机械臂连杆、末端载荷与惯量参数</x:v>
      </x:c>
      <x:c r="C1" s="4" t="str">
        <x:v>机械臂连杆、末端载荷与惯量参数</x:v>
      </x:c>
      <x:c r="D1" s="4" t="str">
        <x:v>机械臂连杆、末端载荷与惯量参数</x:v>
      </x:c>
      <x:c r="E1" s="4" t="str">
        <x:v>机械臂连杆、末端载荷与惯量参数</x:v>
      </x:c>
      <x:c r="F1" s="4" t="str">
        <x:v>机械臂连杆、末端载荷与惯量参数</x:v>
      </x:c>
      <x:c r="G1" s="4" t="str">
        <x:v>机械臂连杆、末端载荷与惯量参数</x:v>
      </x:c>
      <x:c r="H1" s="4" t="str">
        <x:v>机械臂连杆、末端载荷与惯量参数</x:v>
      </x:c>
      <x:c r="I1" s="4" t="str">
        <x:v>机械臂连杆、末端载荷与惯量参数</x:v>
      </x:c>
      <x:c r="J1" s="4" t="str">
        <x:v>机械臂连杆、末端载荷与惯量参数</x:v>
      </x:c>
      <x:c r="K1" s="4" t="str">
        <x:v>机械臂连杆、末端载荷与惯量参数</x:v>
      </x:c>
      <x:c r="L1" s="4" t="str">
        <x:v>机械臂连杆、末端载荷与惯量参数</x:v>
      </x:c>
      <x:c r="M1" s="4" t="str">
        <x:v>机械臂连杆、末端载荷与惯量参数</x:v>
      </x:c>
      <x:c r="N1" s="4" t="str">
        <x:v>机械臂连杆、末端载荷与惯量参数</x:v>
      </x:c>
    </x:row>
    <x:row r="3">
      <x:c r="A3" s="62" t="str">
        <x:v>两种填写方式任选其一：①填写质量、重心和完整惯量；②直接提供可读取的 CAD/STEP/URDF 文件路径。</x:v>
      </x:c>
      <x:c r="B3" s="62" t="str">
        <x:v>两种填写方式任选其一：①填写质量、重心和完整惯量；②直接提供可读取的 CAD/STEP/URDF 文件路径。</x:v>
      </x:c>
      <x:c r="C3" s="62" t="str">
        <x:v>两种填写方式任选其一：①填写质量、重心和完整惯量；②直接提供可读取的 CAD/STEP/URDF 文件路径。</x:v>
      </x:c>
      <x:c r="D3" s="62" t="str">
        <x:v>两种填写方式任选其一：①填写质量、重心和完整惯量；②直接提供可读取的 CAD/STEP/URDF 文件路径。</x:v>
      </x:c>
      <x:c r="E3" s="62" t="str">
        <x:v>两种填写方式任选其一：①填写质量、重心和完整惯量；②直接提供可读取的 CAD/STEP/URDF 文件路径。</x:v>
      </x:c>
      <x:c r="F3" s="62" t="str">
        <x:v>两种填写方式任选其一：①填写质量、重心和完整惯量；②直接提供可读取的 CAD/STEP/URDF 文件路径。</x:v>
      </x:c>
      <x:c r="G3" s="62" t="str">
        <x:v>两种填写方式任选其一：①填写质量、重心和完整惯量；②直接提供可读取的 CAD/STEP/URDF 文件路径。</x:v>
      </x:c>
      <x:c r="H3" s="62" t="str">
        <x:v>两种填写方式任选其一：①填写质量、重心和完整惯量；②直接提供可读取的 CAD/STEP/URDF 文件路径。</x:v>
      </x:c>
      <x:c r="I3" s="62" t="str">
        <x:v>两种填写方式任选其一：①填写质量、重心和完整惯量；②直接提供可读取的 CAD/STEP/URDF 文件路径。</x:v>
      </x:c>
      <x:c r="J3" s="62" t="str">
        <x:v>两种填写方式任选其一：①填写质量、重心和完整惯量；②直接提供可读取的 CAD/STEP/URDF 文件路径。</x:v>
      </x:c>
      <x:c r="K3" s="62" t="str">
        <x:v>两种填写方式任选其一：①填写质量、重心和完整惯量；②直接提供可读取的 CAD/STEP/URDF 文件路径。</x:v>
      </x:c>
      <x:c r="L3" s="62" t="str">
        <x:v>两种填写方式任选其一：①填写质量、重心和完整惯量；②直接提供可读取的 CAD/STEP/URDF 文件路径。</x:v>
      </x:c>
      <x:c r="M3" s="62" t="str">
        <x:v>两种填写方式任选其一：①填写质量、重心和完整惯量；②直接提供可读取的 CAD/STEP/URDF 文件路径。</x:v>
      </x:c>
      <x:c r="N3" s="62" t="str">
        <x:v>两种填写方式任选其一：①填写质量、重心和完整惯量；②直接提供可读取的 CAD/STEP/URDF 文件路径。</x:v>
      </x:c>
    </x:row>
    <x:row r="4" ht="26.399999618530273" hidden="0" customHeight="1">
      <x:c r="A4" s="14" t="str">
        <x:v>编号</x:v>
      </x:c>
      <x:c r="B4" s="14" t="str">
        <x:v>连杆/部件</x:v>
      </x:c>
      <x:c r="C4" s="14" t="str">
        <x:v>质量
kg</x:v>
      </x:c>
      <x:c r="D4" s="14" t="str">
        <x:v>COM X
m</x:v>
      </x:c>
      <x:c r="E4" s="14" t="str">
        <x:v>COM Y
m</x:v>
      </x:c>
      <x:c r="F4" s="14" t="str">
        <x:v>COM Z
m</x:v>
      </x:c>
      <x:c r="G4" s="14" t="str">
        <x:v>Ixx
kg·m²</x:v>
      </x:c>
      <x:c r="H4" s="14" t="str">
        <x:v>Iyy
kg·m²</x:v>
      </x:c>
      <x:c r="I4" s="14" t="str">
        <x:v>Izz
kg·m²</x:v>
      </x:c>
      <x:c r="J4" s="14" t="str">
        <x:v>Ixy
kg·m²</x:v>
      </x:c>
      <x:c r="K4" s="14" t="str">
        <x:v>Ixz
kg·m²</x:v>
      </x:c>
      <x:c r="L4" s="14" t="str">
        <x:v>Iyz
kg·m²</x:v>
      </x:c>
      <x:c r="M4" s="14" t="str">
        <x:v>CAD/STEP/URDF 路径</x:v>
      </x:c>
      <x:c r="N4" s="14" t="str">
        <x:v>状态</x:v>
      </x:c>
    </x:row>
    <x:row r="5" ht="15" hidden="0" customHeight="1">
      <x:c r="A5" s="24" t="n">
        <x:v>1</x:v>
      </x:c>
      <x:c r="B5" s="24" t="str">
        <x:v>arm_base_link</x:v>
      </x:c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63"/>
      <x:c r="N5" s="24" t="str">
        <x:f>IF(OR(COUNTA(C5:L5)=10,M5&lt;&gt;""),"已填写","待填写")</x:f>
        <x:v>待填写</x:v>
      </x:c>
    </x:row>
    <x:row r="6" ht="15" hidden="0" customHeight="1">
      <x:c r="A6" s="26" t="n">
        <x:v>2</x:v>
      </x:c>
      <x:c r="B6" s="26" t="str">
        <x:v>shoulder_link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64"/>
      <x:c r="N6" s="26" t="str">
        <x:f>IF(OR(COUNTA(C6:L6)=10,M6&lt;&gt;""),"已填写","待填写")</x:f>
        <x:v>待填写</x:v>
      </x:c>
    </x:row>
    <x:row r="7" ht="15" hidden="0" customHeight="1">
      <x:c r="A7" s="26" t="n">
        <x:v>3</x:v>
      </x:c>
      <x:c r="B7" s="26" t="str">
        <x:v>upper_arm_link</x:v>
      </x:c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64"/>
      <x:c r="N7" s="26" t="str">
        <x:f>IF(OR(COUNTA(C7:L7)=10,M7&lt;&gt;""),"已填写","待填写")</x:f>
        <x:v>待填写</x:v>
      </x:c>
    </x:row>
    <x:row r="8" ht="15" hidden="0" customHeight="1">
      <x:c r="A8" s="26" t="n">
        <x:v>4</x:v>
      </x:c>
      <x:c r="B8" s="26" t="str">
        <x:v>lower_arm_link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64"/>
      <x:c r="N8" s="26" t="str">
        <x:f>IF(OR(COUNTA(C8:L8)=10,M8&lt;&gt;""),"已填写","待填写")</x:f>
        <x:v>待填写</x:v>
      </x:c>
    </x:row>
    <x:row r="9" ht="15" hidden="0" customHeight="1">
      <x:c r="A9" s="26" t="n">
        <x:v>5</x:v>
      </x:c>
      <x:c r="B9" s="26" t="str">
        <x:v>wrist_link</x:v>
      </x:c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64"/>
      <x:c r="N9" s="26" t="str">
        <x:f>IF(OR(COUNTA(C9:L9)=10,M9&lt;&gt;""),"已填写","待填写")</x:f>
        <x:v>待填写</x:v>
      </x:c>
    </x:row>
    <x:row r="10" ht="15" hidden="0" customHeight="1">
      <x:c r="A10" s="26" t="n">
        <x:v>6</x:v>
      </x:c>
      <x:c r="B10" s="26" t="str">
        <x:v>gripper_link</x:v>
      </x:c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64"/>
      <x:c r="N10" s="26" t="str">
        <x:f>IF(OR(COUNTA(C10:L10)=10,M10&lt;&gt;""),"已填写","待填写")</x:f>
        <x:v>待填写</x:v>
      </x:c>
    </x:row>
    <x:row r="11" ht="15" hidden="0" customHeight="1">
      <x:c r="A11" s="26" t="n">
        <x:v>7</x:v>
      </x:c>
      <x:c r="B11" s="26" t="str">
        <x:v>moving_jaw_link</x:v>
      </x:c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64"/>
      <x:c r="N11" s="26" t="str">
        <x:f>IF(OR(COUNTA(C11:L11)=10,M11&lt;&gt;""),"已填写","待填写")</x:f>
        <x:v>待填写</x:v>
      </x:c>
    </x:row>
    <x:row r="12" ht="15" hidden="0" customHeight="1">
      <x:c r="A12" s="26" t="n">
        <x:v>8</x:v>
      </x:c>
      <x:c r="B12" s="26" t="str">
        <x:v>cleaning_head/payload</x:v>
      </x:c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64"/>
      <x:c r="N12" s="26" t="str">
        <x:f>IF(OR(COUNTA(C12:L12)=10,M12&lt;&gt;""),"已填写","待填写")</x:f>
        <x:v>待填写</x:v>
      </x:c>
    </x:row>
  </x:sheetData>
  <x:mergeCells>
    <x:mergeCell ref="A1:N1"/>
    <x:mergeCell ref="A3:N3"/>
  </x:mergeCells>
  <x:conditionalFormatting sqref="N5:N12">
    <x:cfRule type="containsText" dxfId="12" priority="1" operator="containsText" text="已填写"/>
    <x:cfRule type="containsText" dxfId="13" priority="2" operator="containsText" text="待填写"/>
    <x:cfRule type="containsText" dxfId="14" priority="3" operator="containsText" text="可后补"/>
  </x:conditionalFormatting>
  <x:pageMargins left="0.7" right="0.7" top="0.75" bottom="0.75" header="0.3" footer="0.3"/>
  <x:legacyDrawing xmlns:r="http://schemas.openxmlformats.org/officeDocument/2006/relationships" r:id="Rbcb5c9ad0c8a4ebc"/>
  <x:tableParts count="1">
    <x:tablePart xmlns:r="http://schemas.openxmlformats.org/officeDocument/2006/relationships" r:id="R105faf6bf34a4c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22" hidden="0" customWidth="1"/>
    <x:col min="5" max="5" width="12" hidden="0" customWidth="1"/>
    <x:col min="6" max="6" width="30" hidden="0" customWidth="1"/>
    <x:col min="7" max="7" width="13" hidden="0" customWidth="1"/>
    <x:col min="8" max="8" width="12" hidden="0" customWidth="1"/>
  </x:cols>
  <x:sheetData>
    <x:row r="1" ht="32" customHeight="1">
      <x:c r="A1" s="4" t="str">
        <x:v>后续高保真标定所需试验数据与日志</x:v>
      </x:c>
      <x:c r="B1" s="4" t="str">
        <x:v>后续高保真标定所需试验数据与日志</x:v>
      </x:c>
      <x:c r="C1" s="4" t="str">
        <x:v>后续高保真标定所需试验数据与日志</x:v>
      </x:c>
      <x:c r="D1" s="4" t="str">
        <x:v>后续高保真标定所需试验数据与日志</x:v>
      </x:c>
      <x:c r="E1" s="4" t="str">
        <x:v>后续高保真标定所需试验数据与日志</x:v>
      </x:c>
      <x:c r="F1" s="4" t="str">
        <x:v>后续高保真标定所需试验数据与日志</x:v>
      </x:c>
      <x:c r="G1" s="4" t="str">
        <x:v>后续高保真标定所需试验数据与日志</x:v>
      </x:c>
      <x:c r="H1" s="4" t="str">
        <x:v>后续高保真标定所需试验数据与日志</x:v>
      </x:c>
    </x:row>
    <x:row r="3">
      <x:c r="A3" s="62" t="str">
        <x:v>这些资料不阻塞机械臂最低可动版本，但决定仿真能否与真机定量对齐。没有真机时可先留空。</x:v>
      </x:c>
      <x:c r="B3" s="62" t="str">
        <x:v>这些资料不阻塞机械臂最低可动版本，但决定仿真能否与真机定量对齐。没有真机时可先留空。</x:v>
      </x:c>
      <x:c r="C3" s="62" t="str">
        <x:v>这些资料不阻塞机械臂最低可动版本，但决定仿真能否与真机定量对齐。没有真机时可先留空。</x:v>
      </x:c>
      <x:c r="D3" s="62" t="str">
        <x:v>这些资料不阻塞机械臂最低可动版本，但决定仿真能否与真机定量对齐。没有真机时可先留空。</x:v>
      </x:c>
      <x:c r="E3" s="62" t="str">
        <x:v>这些资料不阻塞机械臂最低可动版本，但决定仿真能否与真机定量对齐。没有真机时可先留空。</x:v>
      </x:c>
      <x:c r="F3" s="62" t="str">
        <x:v>这些资料不阻塞机械臂最低可动版本，但决定仿真能否与真机定量对齐。没有真机时可先留空。</x:v>
      </x:c>
      <x:c r="G3" s="62" t="str">
        <x:v>这些资料不阻塞机械臂最低可动版本，但决定仿真能否与真机定量对齐。没有真机时可先留空。</x:v>
      </x:c>
      <x:c r="H3" s="62" t="str">
        <x:v>这些资料不阻塞机械臂最低可动版本，但决定仿真能否与真机定量对齐。没有真机时可先留空。</x:v>
      </x:c>
    </x:row>
    <x:row r="4" ht="26.399999618530273" hidden="0" customHeight="1">
      <x:c r="A4" s="14" t="str">
        <x:v>编号</x:v>
      </x:c>
      <x:c r="B4" s="14" t="str">
        <x:v>资料类型</x:v>
      </x:c>
      <x:c r="C4" s="14" t="str">
        <x:v>资料名称</x:v>
      </x:c>
      <x:c r="D4" s="14" t="str">
        <x:v>文件路径/链接</x:v>
      </x:c>
      <x:c r="E4" s="14" t="str">
        <x:v>格式</x:v>
      </x:c>
      <x:c r="F4" s="14" t="str">
        <x:v>最低内容</x:v>
      </x:c>
      <x:c r="G4" s="14" t="str">
        <x:v>优先级</x:v>
      </x:c>
      <x:c r="H4" s="14" t="str">
        <x:v>状态</x:v>
      </x:c>
    </x:row>
    <x:row r="5" ht="52.79999923706055" hidden="0" customHeight="1">
      <x:c r="A5" s="24" t="n">
        <x:v>1</x:v>
      </x:c>
      <x:c r="B5" s="24" t="str">
        <x:v>动力</x:v>
      </x:c>
      <x:c r="C5" s="24" t="str">
        <x:v>电机静态拉力数据</x:v>
      </x:c>
      <x:c r="D5" s="63"/>
      <x:c r="E5" s="24" t="str">
        <x:v>CSV/XLSX</x:v>
      </x:c>
      <x:c r="F5" s="24" t="str">
        <x:v>油门、电压、电流、RPM、推力</x:v>
      </x:c>
      <x:c r="G5" s="24" t="str">
        <x:v>高</x:v>
      </x:c>
      <x:c r="H5" s="65" t="str">
        <x:f>IF(D5&lt;&gt;"","已填写","可后补")</x:f>
        <x:v>可后补</x:v>
      </x:c>
    </x:row>
    <x:row r="6" ht="39.599998474121094" hidden="0" customHeight="1">
      <x:c r="A6" s="26" t="n">
        <x:v>2</x:v>
      </x:c>
      <x:c r="B6" s="26" t="str">
        <x:v>动力</x:v>
      </x:c>
      <x:c r="C6" s="26" t="str">
        <x:v>电机阶跃响应</x:v>
      </x:c>
      <x:c r="D6" s="64"/>
      <x:c r="E6" s="26" t="str">
        <x:v>CSV</x:v>
      </x:c>
      <x:c r="F6" s="26" t="str">
        <x:v>时间、目标油门、RPM</x:v>
      </x:c>
      <x:c r="G6" s="26" t="str">
        <x:v>高</x:v>
      </x:c>
      <x:c r="H6" s="66" t="str">
        <x:f>IF(D6&lt;&gt;"","已填写","可后补")</x:f>
        <x:v>可后补</x:v>
      </x:c>
    </x:row>
    <x:row r="7" ht="26.399999618530273" hidden="0" customHeight="1">
      <x:c r="A7" s="26" t="n">
        <x:v>3</x:v>
      </x:c>
      <x:c r="B7" s="26" t="str">
        <x:v>PX4</x:v>
      </x:c>
      <x:c r="C7" s="26" t="str">
        <x:v>静止日志</x:v>
      </x:c>
      <x:c r="D7" s="64"/>
      <x:c r="E7" s="26" t="str">
        <x:v>ULG</x:v>
      </x:c>
      <x:c r="F7" s="26" t="str">
        <x:v>至少 30 秒</x:v>
      </x:c>
      <x:c r="G7" s="26" t="str">
        <x:v>中</x:v>
      </x:c>
      <x:c r="H7" s="66" t="str">
        <x:f>IF(D7&lt;&gt;"","已填写","可后补")</x:f>
        <x:v>可后补</x:v>
      </x:c>
    </x:row>
    <x:row r="8" ht="26.399999618530273" hidden="0" customHeight="1">
      <x:c r="A8" s="26" t="n">
        <x:v>4</x:v>
      </x:c>
      <x:c r="B8" s="26" t="str">
        <x:v>PX4</x:v>
      </x:c>
      <x:c r="C8" s="26" t="str">
        <x:v>稳定悬停日志</x:v>
      </x:c>
      <x:c r="D8" s="64"/>
      <x:c r="E8" s="26" t="str">
        <x:v>ULG</x:v>
      </x:c>
      <x:c r="F8" s="26" t="str">
        <x:v>至少 30 秒</x:v>
      </x:c>
      <x:c r="G8" s="26" t="str">
        <x:v>高</x:v>
      </x:c>
      <x:c r="H8" s="66" t="str">
        <x:f>IF(D8&lt;&gt;"","已填写","可后补")</x:f>
        <x:v>可后补</x:v>
      </x:c>
    </x:row>
    <x:row r="9" ht="39.599998474121094" hidden="0" customHeight="1">
      <x:c r="A9" s="26" t="n">
        <x:v>5</x:v>
      </x:c>
      <x:c r="B9" s="26" t="str">
        <x:v>PX4</x:v>
      </x:c>
      <x:c r="C9" s="26" t="str">
        <x:v>前后左右小阶跃日志</x:v>
      </x:c>
      <x:c r="D9" s="64"/>
      <x:c r="E9" s="26" t="str">
        <x:v>ULG</x:v>
      </x:c>
      <x:c r="F9" s="26" t="str">
        <x:v>包含 actuator_outputs</x:v>
      </x:c>
      <x:c r="G9" s="26" t="str">
        <x:v>高</x:v>
      </x:c>
      <x:c r="H9" s="66" t="str">
        <x:f>IF(D9&lt;&gt;"","已填写","可后补")</x:f>
        <x:v>可后补</x:v>
      </x:c>
    </x:row>
    <x:row r="10" ht="26.399999618530273" hidden="0" customHeight="1">
      <x:c r="A10" s="26" t="n">
        <x:v>6</x:v>
      </x:c>
      <x:c r="B10" s="26" t="str">
        <x:v>结构</x:v>
      </x:c>
      <x:c r="C10" s="26" t="str">
        <x:v>整机 CAD/STEP</x:v>
      </x:c>
      <x:c r="D10" s="64"/>
      <x:c r="E10" s="26" t="str">
        <x:v>STEP</x:v>
      </x:c>
      <x:c r="F10" s="26" t="str">
        <x:v>最终装机状态</x:v>
      </x:c>
      <x:c r="G10" s="26" t="str">
        <x:v>高</x:v>
      </x:c>
      <x:c r="H10" s="66" t="str">
        <x:f>IF(D10&lt;&gt;"","已填写","可后补")</x:f>
        <x:v>可后补</x:v>
      </x:c>
    </x:row>
    <x:row r="11" ht="39.599998474121094" hidden="0" customHeight="1">
      <x:c r="A11" s="26" t="n">
        <x:v>7</x:v>
      </x:c>
      <x:c r="B11" s="26" t="str">
        <x:v>结构</x:v>
      </x:c>
      <x:c r="C11" s="26" t="str">
        <x:v>尺寸图与电机安装照片</x:v>
      </x:c>
      <x:c r="D11" s="64"/>
      <x:c r="E11" s="26" t="str">
        <x:v>PDF/JPG</x:v>
      </x:c>
      <x:c r="F11" s="26" t="str">
        <x:v>含比例或尺寸标注</x:v>
      </x:c>
      <x:c r="G11" s="26" t="str">
        <x:v>中</x:v>
      </x:c>
      <x:c r="H11" s="66" t="str">
        <x:f>IF(D11&lt;&gt;"","已填写","可后补")</x:f>
        <x:v>可后补</x:v>
      </x:c>
    </x:row>
    <x:row r="12" ht="39.599998474121094" hidden="0" customHeight="1">
      <x:c r="A12" s="26" t="n">
        <x:v>8</x:v>
      </x:c>
      <x:c r="B12" s="26" t="str">
        <x:v>机械臂</x:v>
      </x:c>
      <x:c r="C12" s="26" t="str">
        <x:v>典型飞行动作轨迹</x:v>
      </x:c>
      <x:c r="D12" s="64"/>
      <x:c r="E12" s="26" t="str">
        <x:v>CSV/JSON</x:v>
      </x:c>
      <x:c r="F12" s="26" t="str">
        <x:v>时间、关节位置/速度</x:v>
      </x:c>
      <x:c r="G12" s="26" t="str">
        <x:v>高</x:v>
      </x:c>
      <x:c r="H12" s="66" t="str">
        <x:f>IF(D12&lt;&gt;"","已填写","可后补")</x:f>
        <x:v>可后补</x:v>
      </x:c>
    </x:row>
  </x:sheetData>
  <x:mergeCells>
    <x:mergeCell ref="A1:H1"/>
    <x:mergeCell ref="A3:H3"/>
  </x:mergeCells>
  <x:conditionalFormatting sqref="H5:H12">
    <x:cfRule type="containsText" dxfId="15" priority="1" operator="containsText" text="已填写"/>
    <x:cfRule type="containsText" dxfId="16" priority="2" operator="containsText" text="待填写"/>
    <x:cfRule type="containsText" dxfId="17" priority="3" operator="containsText" text="可后补"/>
  </x:conditionalFormatting>
  <x:dataValidations count="1">
    <x:dataValidation type="list" sqref="G5:G12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54ca95073c44a1"/>
  </x:tableParts>
</x:worksheet>
</file>