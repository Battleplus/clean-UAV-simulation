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1b742e48d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前必填" sheetId="1" r:id="R5f825ddd9744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9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i/>
      <x:sz val="10"/>
      <x:color rgb="FF17365D"/>
      <x:name val="Microsoft YaHei"/>
    </x:font>
    <x:font>
      <x:b/>
      <x:sz val="10"/>
      <x:color rgb="FF17365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9D6E4"/>
      </x:left>
      <x:right style="thin">
        <x:color rgb="FFC9D6E4"/>
      </x:right>
      <x:top style="thin">
        <x:color rgb="FFC9D6E4"/>
      </x:top>
      <x:bottom style="thin">
        <x:color rgb="FFC9D6E4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200" fontId="6" fillId="5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8" fillId="3" borderId="1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c59f1538f4139" /><Relationship Type="http://schemas.openxmlformats.org/officeDocument/2006/relationships/theme" Target="/xl/theme/theme1.xml" Id="Rb9784c6d8204419c" /><Relationship Type="http://schemas.openxmlformats.org/officeDocument/2006/relationships/sharedStrings" Target="/xl/sharedStrings.xml" Id="Rdb28d517fb594ee1" /><Relationship Type="http://schemas.openxmlformats.org/officeDocument/2006/relationships/worksheet" Target="/xl/worksheets/sheet1.xml" Id="R5f825ddd9744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14" hidden="0" customWidth="1"/>
    <x:col min="4" max="4" width="15" hidden="0" customWidth="1"/>
    <x:col min="5" max="5" width="29" hidden="0" customWidth="1"/>
    <x:col min="6" max="6" width="13" hidden="0" customWidth="1"/>
    <x:col min="7" max="7" width="16" hidden="0" customWidth="1"/>
    <x:col min="8" max="8" width="15" hidden="0" customWidth="1"/>
    <x:col min="9" max="9" width="13" hidden="0" customWidth="1"/>
    <x:col min="10" max="10" width="15" hidden="0" customWidth="1"/>
    <x:col min="11" max="11" width="15" hidden="0" customWidth="1"/>
    <x:col min="12" max="12" width="13" hidden="0" customWidth="1"/>
  </x:cols>
  <x:sheetData>
    <x:row r="1" ht="34" customHeight="1">
      <x:c r="A1" s="24" t="str">
        <x:v>my_drone 当前最需要参数（只填黄色格）</x:v>
      </x:c>
      <x:c r="B1" s="24" t="str">
        <x:v>my_drone 当前最需要参数（只填黄色格）</x:v>
      </x:c>
      <x:c r="C1" s="24" t="str">
        <x:v>my_drone 当前最需要参数（只填黄色格）</x:v>
      </x:c>
      <x:c r="D1" s="24" t="str">
        <x:v>my_drone 当前最需要参数（只填黄色格）</x:v>
      </x:c>
      <x:c r="E1" s="24" t="str">
        <x:v>my_drone 当前最需要参数（只填黄色格）</x:v>
      </x:c>
      <x:c r="F1" s="24" t="str">
        <x:v>my_drone 当前最需要参数（只填黄色格）</x:v>
      </x:c>
      <x:c r="G1" s="24" t="str">
        <x:v>my_drone 当前最需要参数（只填黄色格）</x:v>
      </x:c>
      <x:c r="H1" s="24" t="str">
        <x:v>my_drone 当前最需要参数（只填黄色格）</x:v>
      </x:c>
      <x:c r="I1" s="24" t="str">
        <x:v>my_drone 当前最需要参数（只填黄色格）</x:v>
      </x:c>
      <x:c r="J1" s="24" t="str">
        <x:v>my_drone 当前最需要参数（只填黄色格）</x:v>
      </x:c>
      <x:c r="K1" s="24" t="str">
        <x:v>my_drone 当前最需要参数（只填黄色格）</x:v>
      </x:c>
      <x:c r="L1" s="24" t="str">
        <x:v>my_drone 当前最需要参数（只填黄色格）</x:v>
      </x:c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 ht="28" customHeight="1">
      <x:c r="A3" s="26" t="str">
        <x:v>用途：解除机械臂固定、建立八旋翼推力分配，并让 PX4 仿真具备可校准的前后左右飞行。坐标统一使用机体 FRD：X 前、Y 右、Z 下。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 ht="32" customHeight="1">
      <x:c r="A4" s="27" t="str">
        <x:v>分组</x:v>
      </x:c>
      <x:c r="B4" s="27" t="str">
        <x:v>必填项目</x:v>
      </x:c>
      <x:c r="C4" s="27" t="str">
        <x:v>填写值</x:v>
      </x:c>
      <x:c r="D4" s="27" t="str">
        <x:v>单位</x:v>
      </x:c>
      <x:c r="E4" s="27" t="str">
        <x:v>填写说明</x:v>
      </x:c>
      <x:c r="F4" s="27" t="str">
        <x:v>状态</x:v>
      </x:c>
      <x:c r="G4" s="36"/>
      <x:c r="H4" s="36"/>
      <x:c r="I4" s="36"/>
      <x:c r="J4" s="36"/>
      <x:c r="K4" s="36"/>
      <x:c r="L4" s="36"/>
    </x:row>
    <x:row r="5">
      <x:c r="A5" s="28" t="str">
        <x:v>整机</x:v>
      </x:c>
      <x:c r="B5" s="28" t="str">
        <x:v>最终起飞总质量</x:v>
      </x:c>
      <x:c r="C5" s="29"/>
      <x:c r="D5" s="30" t="str">
        <x:v>kg</x:v>
      </x:c>
      <x:c r="E5" s="31" t="str">
        <x:v>含电池、机械臂和末端工具</x:v>
      </x:c>
      <x:c r="F5" s="30" t="str">
        <x:f>IF(C5="","待填写","已填写")</x:f>
        <x:v>待填写</x:v>
      </x:c>
      <x:c r="G5" s="36"/>
      <x:c r="H5" s="36"/>
      <x:c r="I5" s="36"/>
      <x:c r="J5" s="36"/>
      <x:c r="K5" s="36"/>
      <x:c r="L5" s="36"/>
    </x:row>
    <x:row r="6">
      <x:c r="A6" s="28" t="str">
        <x:v>整机</x:v>
      </x:c>
      <x:c r="B6" s="28" t="str">
        <x:v>重心 X</x:v>
      </x:c>
      <x:c r="C6" s="29"/>
      <x:c r="D6" s="30" t="str">
        <x:v>m</x:v>
      </x:c>
      <x:c r="E6" s="31" t="str">
        <x:v>相对机体原点，向前为正</x:v>
      </x:c>
      <x:c r="F6" s="30" t="str">
        <x:f>IF(C6="","待填写","已填写")</x:f>
        <x:v>待填写</x:v>
      </x:c>
      <x:c r="G6" s="36"/>
      <x:c r="H6" s="36"/>
      <x:c r="I6" s="36"/>
      <x:c r="J6" s="36"/>
      <x:c r="K6" s="36"/>
      <x:c r="L6" s="36"/>
    </x:row>
    <x:row r="7">
      <x:c r="A7" s="28" t="str">
        <x:v>整机</x:v>
      </x:c>
      <x:c r="B7" s="28" t="str">
        <x:v>重心 Y</x:v>
      </x:c>
      <x:c r="C7" s="29"/>
      <x:c r="D7" s="30" t="str">
        <x:v>m</x:v>
      </x:c>
      <x:c r="E7" s="31" t="str">
        <x:v>相对机体原点，向右为正</x:v>
      </x:c>
      <x:c r="F7" s="30" t="str">
        <x:f>IF(C7="","待填写","已填写")</x:f>
        <x:v>待填写</x:v>
      </x:c>
      <x:c r="G7" s="36"/>
      <x:c r="H7" s="36"/>
      <x:c r="I7" s="36"/>
      <x:c r="J7" s="36"/>
      <x:c r="K7" s="36"/>
      <x:c r="L7" s="36"/>
    </x:row>
    <x:row r="8">
      <x:c r="A8" s="28" t="str">
        <x:v>整机</x:v>
      </x:c>
      <x:c r="B8" s="28" t="str">
        <x:v>重心 Z</x:v>
      </x:c>
      <x:c r="C8" s="29"/>
      <x:c r="D8" s="30" t="str">
        <x:v>m</x:v>
      </x:c>
      <x:c r="E8" s="31" t="str">
        <x:v>相对机体原点，向下为正</x:v>
      </x:c>
      <x:c r="F8" s="30" t="str">
        <x:f>IF(C8="","待填写","已填写")</x:f>
        <x:v>待填写</x:v>
      </x:c>
      <x:c r="G8" s="36"/>
      <x:c r="H8" s="36"/>
      <x:c r="I8" s="36"/>
      <x:c r="J8" s="36"/>
      <x:c r="K8" s="36"/>
      <x:c r="L8" s="36"/>
    </x:row>
    <x:row r="9">
      <x:c r="A9" s="28" t="str">
        <x:v>整机</x:v>
      </x:c>
      <x:c r="B9" s="28" t="str">
        <x:v>整机 CAD/STEP/URDF 路径</x:v>
      </x:c>
      <x:c r="C9" s="29"/>
      <x:c r="D9" s="30" t="str">
        <x:v>-</x:v>
      </x:c>
      <x:c r="E9" s="31" t="str">
        <x:v>用于获得惯量；若没有，提供 Ixx/Iyy/Izz 也可</x:v>
      </x:c>
      <x:c r="F9" s="30" t="str">
        <x:f>IF(C9="","待填写","已填写")</x:f>
        <x:v>待填写</x:v>
      </x:c>
      <x:c r="G9" s="36"/>
      <x:c r="H9" s="36"/>
      <x:c r="I9" s="36"/>
      <x:c r="J9" s="36"/>
      <x:c r="K9" s="36"/>
      <x:c r="L9" s="36"/>
    </x:row>
    <x:row r="10">
      <x:c r="A10" s="28" t="str">
        <x:v>推力</x:v>
      </x:c>
      <x:c r="B10" s="28" t="str">
        <x:v>单电机最大推力</x:v>
      </x:c>
      <x:c r="C10" s="29"/>
      <x:c r="D10" s="30" t="str">
        <x:v>N</x:v>
      </x:c>
      <x:c r="E10" s="31" t="str">
        <x:v>同一电池电压与桨叶条件</x:v>
      </x:c>
      <x:c r="F10" s="30" t="str">
        <x:f>IF(C10="","待填写","已填写")</x:f>
        <x:v>待填写</x:v>
      </x:c>
      <x:c r="G10" s="36"/>
      <x:c r="H10" s="36"/>
      <x:c r="I10" s="36"/>
      <x:c r="J10" s="36"/>
      <x:c r="K10" s="36"/>
      <x:c r="L10" s="36"/>
    </x:row>
    <x:row r="11">
      <x:c r="A11" s="28" t="str">
        <x:v>推力</x:v>
      </x:c>
      <x:c r="B11" s="28" t="str">
        <x:v>推力系数 kf</x:v>
      </x:c>
      <x:c r="C11" s="29"/>
      <x:c r="D11" s="30" t="str">
        <x:v>N/(rad/s)²</x:v>
      </x:c>
      <x:c r="E11" s="31" t="str">
        <x:v>若没有可提供油门-RPM-推力表</x:v>
      </x:c>
      <x:c r="F11" s="30" t="str">
        <x:f>IF(C11="","待填写","已填写")</x:f>
        <x:v>待填写</x:v>
      </x:c>
      <x:c r="G11" s="36"/>
      <x:c r="H11" s="36"/>
      <x:c r="I11" s="36"/>
      <x:c r="J11" s="36"/>
      <x:c r="K11" s="36"/>
      <x:c r="L11" s="36"/>
    </x:row>
    <x:row r="12">
      <x:c r="A12" s="28" t="str">
        <x:v>推力</x:v>
      </x:c>
      <x:c r="B12" s="28" t="str">
        <x:v>反扭矩系数 km</x:v>
      </x:c>
      <x:c r="C12" s="29"/>
      <x:c r="D12" s="30" t="str">
        <x:v>N·m/(rad/s)²</x:v>
      </x:c>
      <x:c r="E12" s="31" t="str">
        <x:v>若没有可暂填未知</x:v>
      </x:c>
      <x:c r="F12" s="30" t="str">
        <x:f>IF(C12="","待填写","已填写")</x:f>
        <x:v>待填写</x:v>
      </x:c>
      <x:c r="G12" s="36"/>
      <x:c r="H12" s="36"/>
      <x:c r="I12" s="36"/>
      <x:c r="J12" s="36"/>
      <x:c r="K12" s="36"/>
      <x:c r="L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</x:row>
    <x:row r="14" ht="24" customHeight="1">
      <x:c r="A14" s="32" t="str">
        <x:v>八个电机安装与倾角（8 行全部填写）</x:v>
      </x:c>
      <x:c r="B14" s="32" t="str">
        <x:v>八个电机安装与倾角（8 行全部填写）</x:v>
      </x:c>
      <x:c r="C14" s="32" t="str">
        <x:v>八个电机安装与倾角（8 行全部填写）</x:v>
      </x:c>
      <x:c r="D14" s="32" t="str">
        <x:v>八个电机安装与倾角（8 行全部填写）</x:v>
      </x:c>
      <x:c r="E14" s="32" t="str">
        <x:v>八个电机安装与倾角（8 行全部填写）</x:v>
      </x:c>
      <x:c r="F14" s="32" t="str">
        <x:v>八个电机安装与倾角（8 行全部填写）</x:v>
      </x:c>
      <x:c r="G14" s="32" t="str">
        <x:v>八个电机安装与倾角（8 行全部填写）</x:v>
      </x:c>
      <x:c r="H14" s="32" t="str">
        <x:v>八个电机安装与倾角（8 行全部填写）</x:v>
      </x:c>
      <x:c r="I14" s="32" t="str">
        <x:v>八个电机安装与倾角（8 行全部填写）</x:v>
      </x:c>
      <x:c r="J14" s="32" t="str">
        <x:v>八个电机安装与倾角（8 行全部填写）</x:v>
      </x:c>
      <x:c r="K14" s="32" t="str">
        <x:v>八个电机安装与倾角（8 行全部填写）</x:v>
      </x:c>
      <x:c r="L14" s="32" t="str">
        <x:v>八个电机安装与倾角（8 行全部填写）</x:v>
      </x:c>
    </x:row>
    <x:row r="15" ht="32" customHeight="1">
      <x:c r="A15" s="27" t="str">
        <x:v>电机</x:v>
      </x:c>
      <x:c r="B15" s="27" t="str">
        <x:v>X m</x:v>
      </x:c>
      <x:c r="C15" s="27" t="str">
        <x:v>Y m</x:v>
      </x:c>
      <x:c r="D15" s="27" t="str">
        <x:v>Z m</x:v>
      </x:c>
      <x:c r="E15" s="27" t="str">
        <x:v>推力轴 X</x:v>
      </x:c>
      <x:c r="F15" s="27" t="str">
        <x:v>推力轴 Y</x:v>
      </x:c>
      <x:c r="G15" s="27" t="str">
        <x:v>推力轴 Z</x:v>
      </x:c>
      <x:c r="H15" s="27" t="str">
        <x:v>倾角 °</x:v>
      </x:c>
      <x:c r="I15" s="27" t="str">
        <x:v>旋向</x:v>
      </x:c>
      <x:c r="J15" s="27" t="str">
        <x:v>最大推力 N</x:v>
      </x:c>
      <x:c r="K15" s="27" t="str">
        <x:v>kf</x:v>
      </x:c>
      <x:c r="L15" s="27" t="str">
        <x:v>状态</x:v>
      </x:c>
    </x:row>
    <x:row r="16">
      <x:c r="A16" s="28" t="n">
        <x:v>1</x:v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0" t="str">
        <x:f>IF(COUNTA(B16:K16)=10,"已填写","待填写")</x:f>
        <x:v>待填写</x:v>
      </x:c>
    </x:row>
    <x:row r="17">
      <x:c r="A17" s="28" t="n">
        <x:v>2</x:v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0" t="str">
        <x:f>IF(COUNTA(B17:K17)=10,"已填写","待填写")</x:f>
        <x:v>待填写</x:v>
      </x:c>
    </x:row>
    <x:row r="18">
      <x:c r="A18" s="28" t="n">
        <x:v>3</x:v>
      </x:c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0" t="str">
        <x:f>IF(COUNTA(B18:K18)=10,"已填写","待填写")</x:f>
        <x:v>待填写</x:v>
      </x:c>
    </x:row>
    <x:row r="19">
      <x:c r="A19" s="28" t="n">
        <x:v>4</x:v>
      </x:c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0" t="str">
        <x:f>IF(COUNTA(B19:K19)=10,"已填写","待填写")</x:f>
        <x:v>待填写</x:v>
      </x:c>
    </x:row>
    <x:row r="20">
      <x:c r="A20" s="28" t="n">
        <x:v>5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0" t="str">
        <x:f>IF(COUNTA(B20:K20)=10,"已填写","待填写")</x:f>
        <x:v>待填写</x:v>
      </x:c>
    </x:row>
    <x:row r="21">
      <x:c r="A21" s="28" t="n">
        <x:v>6</x:v>
      </x:c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0" t="str">
        <x:f>IF(COUNTA(B21:K21)=10,"已填写","待填写")</x:f>
        <x:v>待填写</x:v>
      </x:c>
    </x:row>
    <x:row r="22">
      <x:c r="A22" s="28" t="n">
        <x:v>7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0" t="str">
        <x:f>IF(COUNTA(B22:K22)=10,"已填写","待填写")</x:f>
        <x:v>待填写</x:v>
      </x:c>
    </x:row>
    <x:row r="23">
      <x:c r="A23" s="28" t="n">
        <x:v>8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0" t="str">
        <x:f>IF(COUNTA(B23:K23)=10,"已填写","待填写")</x:f>
        <x:v>待填写</x:v>
      </x:c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24" customHeight="1">
      <x:c r="A25" s="32" t="str">
        <x:v>机械臂关节（解除固定最关键）</x:v>
      </x:c>
      <x:c r="B25" s="32" t="str">
        <x:v>机械臂关节（解除固定最关键）</x:v>
      </x:c>
      <x:c r="C25" s="32" t="str">
        <x:v>机械臂关节（解除固定最关键）</x:v>
      </x:c>
      <x:c r="D25" s="32" t="str">
        <x:v>机械臂关节（解除固定最关键）</x:v>
      </x:c>
      <x:c r="E25" s="32" t="str">
        <x:v>机械臂关节（解除固定最关键）</x:v>
      </x:c>
      <x:c r="F25" s="32" t="str">
        <x:v>机械臂关节（解除固定最关键）</x:v>
      </x:c>
      <x:c r="G25" s="32" t="str">
        <x:v>机械臂关节（解除固定最关键）</x:v>
      </x:c>
      <x:c r="H25" s="32" t="str">
        <x:v>机械臂关节（解除固定最关键）</x:v>
      </x:c>
      <x:c r="I25" s="32" t="str">
        <x:v>机械臂关节（解除固定最关键）</x:v>
      </x:c>
      <x:c r="J25" s="32" t="str">
        <x:v>机械臂关节（解除固定最关键）</x:v>
      </x:c>
      <x:c r="K25" s="32" t="str">
        <x:v>机械臂关节（解除固定最关键）</x:v>
      </x:c>
      <x:c r="L25" s="32" t="str">
        <x:v>机械臂关节（解除固定最关键）</x:v>
      </x:c>
    </x:row>
    <x:row r="26" ht="32" customHeight="1">
      <x:c r="A26" s="27" t="str">
        <x:v>关节序号</x:v>
      </x:c>
      <x:c r="B26" s="27" t="str">
        <x:v>URDF/SDF 关节名</x:v>
      </x:c>
      <x:c r="C26" s="27" t="str">
        <x:v>轴 X</x:v>
      </x:c>
      <x:c r="D26" s="27" t="str">
        <x:v>轴 Y</x:v>
      </x:c>
      <x:c r="E26" s="27" t="str">
        <x:v>轴 Z</x:v>
      </x:c>
      <x:c r="F26" s="27" t="str">
        <x:v>下限 rad</x:v>
      </x:c>
      <x:c r="G26" s="27" t="str">
        <x:v>上限 rad</x:v>
      </x:c>
      <x:c r="H26" s="27" t="str">
        <x:v>连续力矩 N·m</x:v>
      </x:c>
      <x:c r="I26" s="27" t="str">
        <x:v>最大速度 rad/s</x:v>
      </x:c>
      <x:c r="J26" s="27" t="str">
        <x:v>飞行中运动</x:v>
      </x:c>
      <x:c r="K26" s="27" t="str">
        <x:v>初始/悬停角 rad</x:v>
      </x:c>
      <x:c r="L26" s="27" t="str">
        <x:v>状态</x:v>
      </x:c>
    </x:row>
    <x:row r="27">
      <x:c r="A27" s="28" t="n">
        <x:v>1</x:v>
      </x:c>
      <x:c r="B27" s="28" t="str">
        <x:v>shoulder_pan</x:v>
      </x:c>
      <x:c r="C27" s="33"/>
      <x:c r="D27" s="33"/>
      <x:c r="E27" s="33"/>
      <x:c r="F27" s="33"/>
      <x:c r="G27" s="33"/>
      <x:c r="H27" s="33"/>
      <x:c r="I27" s="33"/>
      <x:c r="J27" s="29"/>
      <x:c r="K27" s="29"/>
      <x:c r="L27" s="30" t="str">
        <x:f>IF(COUNTA(B27:K27)=10,"已填写","待填写")</x:f>
        <x:v>待填写</x:v>
      </x:c>
    </x:row>
    <x:row r="28">
      <x:c r="A28" s="28" t="n">
        <x:v>2</x:v>
      </x:c>
      <x:c r="B28" s="28" t="str">
        <x:v>shoulder_lift</x:v>
      </x:c>
      <x:c r="C28" s="33"/>
      <x:c r="D28" s="33"/>
      <x:c r="E28" s="33"/>
      <x:c r="F28" s="33"/>
      <x:c r="G28" s="33"/>
      <x:c r="H28" s="33"/>
      <x:c r="I28" s="33"/>
      <x:c r="J28" s="29"/>
      <x:c r="K28" s="29"/>
      <x:c r="L28" s="30" t="str">
        <x:f>IF(COUNTA(B28:K28)=10,"已填写","待填写")</x:f>
        <x:v>待填写</x:v>
      </x:c>
    </x:row>
    <x:row r="29">
      <x:c r="A29" s="28" t="n">
        <x:v>3</x:v>
      </x:c>
      <x:c r="B29" s="28" t="str">
        <x:v>elbow_flex</x:v>
      </x:c>
      <x:c r="C29" s="33"/>
      <x:c r="D29" s="33"/>
      <x:c r="E29" s="33"/>
      <x:c r="F29" s="33"/>
      <x:c r="G29" s="33"/>
      <x:c r="H29" s="33"/>
      <x:c r="I29" s="33"/>
      <x:c r="J29" s="29"/>
      <x:c r="K29" s="29"/>
      <x:c r="L29" s="30" t="str">
        <x:f>IF(COUNTA(B29:K29)=10,"已填写","待填写")</x:f>
        <x:v>待填写</x:v>
      </x:c>
    </x:row>
    <x:row r="30">
      <x:c r="A30" s="28" t="n">
        <x:v>4</x:v>
      </x:c>
      <x:c r="B30" s="28" t="str">
        <x:v>wrist_flex</x:v>
      </x:c>
      <x:c r="C30" s="33"/>
      <x:c r="D30" s="33"/>
      <x:c r="E30" s="33"/>
      <x:c r="F30" s="33"/>
      <x:c r="G30" s="33"/>
      <x:c r="H30" s="33"/>
      <x:c r="I30" s="33"/>
      <x:c r="J30" s="29"/>
      <x:c r="K30" s="29"/>
      <x:c r="L30" s="30" t="str">
        <x:f>IF(COUNTA(B30:K30)=10,"已填写","待填写")</x:f>
        <x:v>待填写</x:v>
      </x:c>
    </x:row>
    <x:row r="31">
      <x:c r="A31" s="28" t="n">
        <x:v>5</x:v>
      </x:c>
      <x:c r="B31" s="28" t="str">
        <x:v>wrist_roll</x:v>
      </x:c>
      <x:c r="C31" s="33"/>
      <x:c r="D31" s="33"/>
      <x:c r="E31" s="33"/>
      <x:c r="F31" s="33"/>
      <x:c r="G31" s="33"/>
      <x:c r="H31" s="33"/>
      <x:c r="I31" s="33"/>
      <x:c r="J31" s="29"/>
      <x:c r="K31" s="29"/>
      <x:c r="L31" s="30" t="str">
        <x:f>IF(COUNTA(B31:K31)=10,"已填写","待填写")</x:f>
        <x:v>待填写</x:v>
      </x:c>
    </x:row>
    <x:row r="32">
      <x:c r="A32" s="28" t="n">
        <x:v>6</x:v>
      </x:c>
      <x:c r="B32" s="28" t="str">
        <x:v>gripper</x:v>
      </x:c>
      <x:c r="C32" s="33"/>
      <x:c r="D32" s="33"/>
      <x:c r="E32" s="33"/>
      <x:c r="F32" s="33"/>
      <x:c r="G32" s="33"/>
      <x:c r="H32" s="33"/>
      <x:c r="I32" s="33"/>
      <x:c r="J32" s="29"/>
      <x:c r="K32" s="29"/>
      <x:c r="L32" s="30" t="str">
        <x:f>IF(COUNTA(B32:K32)=10,"已填写","待填写")</x:f>
        <x:v>待填写</x:v>
      </x:c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</x:row>
    <x:row r="34" ht="24" customHeight="1">
      <x:c r="A34" s="32" t="str">
        <x:v>机械臂连杆最低质量参数</x:v>
      </x:c>
      <x:c r="B34" s="32" t="str">
        <x:v>机械臂连杆最低质量参数</x:v>
      </x:c>
      <x:c r="C34" s="32" t="str">
        <x:v>机械臂连杆最低质量参数</x:v>
      </x:c>
      <x:c r="D34" s="32" t="str">
        <x:v>机械臂连杆最低质量参数</x:v>
      </x:c>
      <x:c r="E34" s="32" t="str">
        <x:v>机械臂连杆最低质量参数</x:v>
      </x:c>
      <x:c r="F34" s="32" t="str">
        <x:v>机械臂连杆最低质量参数</x:v>
      </x:c>
      <x:c r="G34" s="32" t="str">
        <x:v>机械臂连杆最低质量参数</x:v>
      </x:c>
      <x:c r="H34" s="32" t="str">
        <x:v>机械臂连杆最低质量参数</x:v>
      </x:c>
      <x:c r="I34" s="36"/>
      <x:c r="J34" s="36"/>
      <x:c r="K34" s="36"/>
      <x:c r="L34" s="36"/>
    </x:row>
    <x:row r="35" ht="32" customHeight="1">
      <x:c r="A35" s="27" t="str">
        <x:v>序号</x:v>
      </x:c>
      <x:c r="B35" s="27" t="str">
        <x:v>连杆名称</x:v>
      </x:c>
      <x:c r="C35" s="27" t="str">
        <x:v>质量 kg</x:v>
      </x:c>
      <x:c r="D35" s="27" t="str">
        <x:v>COM X m</x:v>
      </x:c>
      <x:c r="E35" s="27" t="str">
        <x:v>COM Y m</x:v>
      </x:c>
      <x:c r="F35" s="27" t="str">
        <x:v>COM Z m</x:v>
      </x:c>
      <x:c r="G35" s="27" t="str">
        <x:v>CAD/STEP 路径</x:v>
      </x:c>
      <x:c r="H35" s="27" t="str">
        <x:v>状态</x:v>
      </x:c>
      <x:c r="I35" s="36"/>
      <x:c r="J35" s="27" t="str">
        <x:v>完成情况</x:v>
      </x:c>
      <x:c r="K35" s="27" t="str">
        <x:v>已完成</x:v>
      </x:c>
      <x:c r="L35" s="27" t="str">
        <x:v>总数</x:v>
      </x:c>
    </x:row>
    <x:row r="36">
      <x:c r="A36" s="28" t="n">
        <x:v>1</x:v>
      </x:c>
      <x:c r="B36" s="28" t="str">
        <x:v>arm_base_link</x:v>
      </x:c>
      <x:c r="C36" s="33"/>
      <x:c r="D36" s="33"/>
      <x:c r="E36" s="33"/>
      <x:c r="F36" s="33"/>
      <x:c r="G36" s="29"/>
      <x:c r="H36" s="30" t="str">
        <x:f>IF(OR(G36&lt;&gt;"",COUNTA(C36:F36)=4),"已填写","待填写")</x:f>
        <x:v>待填写</x:v>
      </x:c>
      <x:c r="I36" s="36"/>
      <x:c r="J36" s="28" t="str">
        <x:v>基础参数</x:v>
      </x:c>
      <x:c r="K36" s="28" t="n">
        <x:f>COUNTIF(F5:F12,"已填写")</x:f>
        <x:v>0</x:v>
      </x:c>
      <x:c r="L36" s="28" t="n">
        <x:v>8</x:v>
      </x:c>
    </x:row>
    <x:row r="37">
      <x:c r="A37" s="28" t="n">
        <x:v>2</x:v>
      </x:c>
      <x:c r="B37" s="28" t="str">
        <x:v>shoulder_link</x:v>
      </x:c>
      <x:c r="C37" s="33"/>
      <x:c r="D37" s="33"/>
      <x:c r="E37" s="33"/>
      <x:c r="F37" s="33"/>
      <x:c r="G37" s="29"/>
      <x:c r="H37" s="30" t="str">
        <x:f>IF(OR(G37&lt;&gt;"",COUNTA(C37:F37)=4),"已填写","待填写")</x:f>
        <x:v>待填写</x:v>
      </x:c>
      <x:c r="I37" s="36"/>
      <x:c r="J37" s="28" t="str">
        <x:v>八旋翼</x:v>
      </x:c>
      <x:c r="K37" s="28" t="n">
        <x:f>COUNTIF(L16:L23,"已填写")</x:f>
        <x:v>0</x:v>
      </x:c>
      <x:c r="L37" s="28" t="n">
        <x:v>8</x:v>
      </x:c>
    </x:row>
    <x:row r="38">
      <x:c r="A38" s="28" t="n">
        <x:v>3</x:v>
      </x:c>
      <x:c r="B38" s="28" t="str">
        <x:v>upper_arm_link</x:v>
      </x:c>
      <x:c r="C38" s="33"/>
      <x:c r="D38" s="33"/>
      <x:c r="E38" s="33"/>
      <x:c r="F38" s="33"/>
      <x:c r="G38" s="29"/>
      <x:c r="H38" s="30" t="str">
        <x:f>IF(OR(G38&lt;&gt;"",COUNTA(C38:F38)=4),"已填写","待填写")</x:f>
        <x:v>待填写</x:v>
      </x:c>
      <x:c r="I38" s="36"/>
      <x:c r="J38" s="28" t="str">
        <x:v>机械臂关节</x:v>
      </x:c>
      <x:c r="K38" s="28" t="n">
        <x:f>COUNTIF(L27:L32,"已填写")</x:f>
        <x:v>0</x:v>
      </x:c>
      <x:c r="L38" s="28" t="n">
        <x:v>6</x:v>
      </x:c>
    </x:row>
    <x:row r="39">
      <x:c r="A39" s="28" t="n">
        <x:v>4</x:v>
      </x:c>
      <x:c r="B39" s="28" t="str">
        <x:v>lower_arm_link</x:v>
      </x:c>
      <x:c r="C39" s="33"/>
      <x:c r="D39" s="33"/>
      <x:c r="E39" s="33"/>
      <x:c r="F39" s="33"/>
      <x:c r="G39" s="29"/>
      <x:c r="H39" s="30" t="str">
        <x:f>IF(OR(G39&lt;&gt;"",COUNTA(C39:F39)=4),"已填写","待填写")</x:f>
        <x:v>待填写</x:v>
      </x:c>
      <x:c r="I39" s="36"/>
      <x:c r="J39" s="28" t="str">
        <x:v>机械臂连杆</x:v>
      </x:c>
      <x:c r="K39" s="28" t="n">
        <x:f>COUNTIF(H36:H42,"已填写")</x:f>
        <x:v>0</x:v>
      </x:c>
      <x:c r="L39" s="28" t="n">
        <x:v>7</x:v>
      </x:c>
    </x:row>
    <x:row r="40">
      <x:c r="A40" s="28" t="n">
        <x:v>5</x:v>
      </x:c>
      <x:c r="B40" s="28" t="str">
        <x:v>wrist_link</x:v>
      </x:c>
      <x:c r="C40" s="33"/>
      <x:c r="D40" s="33"/>
      <x:c r="E40" s="33"/>
      <x:c r="F40" s="33"/>
      <x:c r="G40" s="29"/>
      <x:c r="H40" s="30" t="str">
        <x:f>IF(OR(G40&lt;&gt;"",COUNTA(C40:F40)=4),"已填写","待填写")</x:f>
        <x:v>待填写</x:v>
      </x:c>
      <x:c r="I40" s="36"/>
      <x:c r="J40" s="37" t="str">
        <x:v>总计</x:v>
      </x:c>
      <x:c r="K40" s="37" t="n">
        <x:f>SUM(K36:K39)</x:f>
        <x:v>0</x:v>
      </x:c>
      <x:c r="L40" s="37" t="n">
        <x:f>SUM(L36:L39)</x:f>
        <x:v>29</x:v>
      </x:c>
    </x:row>
    <x:row r="41">
      <x:c r="A41" s="28" t="n">
        <x:v>6</x:v>
      </x:c>
      <x:c r="B41" s="28" t="str">
        <x:v>gripper_link</x:v>
      </x:c>
      <x:c r="C41" s="33"/>
      <x:c r="D41" s="33"/>
      <x:c r="E41" s="33"/>
      <x:c r="F41" s="33"/>
      <x:c r="G41" s="29"/>
      <x:c r="H41" s="30" t="str">
        <x:f>IF(OR(G41&lt;&gt;"",COUNTA(C41:F41)=4),"已填写","待填写")</x:f>
        <x:v>待填写</x:v>
      </x:c>
      <x:c r="I41" s="36"/>
      <x:c r="J41" s="36"/>
      <x:c r="K41" s="36"/>
      <x:c r="L41" s="36"/>
    </x:row>
    <x:row r="42">
      <x:c r="A42" s="28" t="n">
        <x:v>7</x:v>
      </x:c>
      <x:c r="B42" s="28" t="str">
        <x:v>cleaning_head/payload</x:v>
      </x:c>
      <x:c r="C42" s="33"/>
      <x:c r="D42" s="33"/>
      <x:c r="E42" s="33"/>
      <x:c r="F42" s="33"/>
      <x:c r="G42" s="29"/>
      <x:c r="H42" s="30" t="str">
        <x:f>IF(OR(G42&lt;&gt;"",COUNTA(C42:F42)=4),"已填写","待填写")</x:f>
        <x:v>待填写</x:v>
      </x:c>
      <x:c r="I42" s="36"/>
      <x:c r="J42" s="36"/>
      <x:c r="K42" s="36"/>
      <x:c r="L42" s="36"/>
    </x:row>
  </x:sheetData>
  <x:mergeCells>
    <x:mergeCell ref="A1:L1"/>
    <x:mergeCell ref="A3:L3"/>
    <x:mergeCell ref="A14:L14"/>
    <x:mergeCell ref="A25:L25"/>
    <x:mergeCell ref="A34:H34"/>
  </x:mergeCells>
  <x:conditionalFormatting sqref="F5:F12">
    <x:cfRule type="containsText" dxfId="0" priority="1" operator="containsText" text="已填写"/>
    <x:cfRule type="containsText" dxfId="1" priority="2" operator="containsText" text="待填写"/>
  </x:conditionalFormatting>
  <x:conditionalFormatting sqref="L16:L23">
    <x:cfRule type="containsText" dxfId="2" priority="3" operator="containsText" text="已填写"/>
    <x:cfRule type="containsText" dxfId="3" priority="4" operator="containsText" text="待填写"/>
  </x:conditionalFormatting>
  <x:conditionalFormatting sqref="L27:L32">
    <x:cfRule type="containsText" dxfId="4" priority="5" operator="containsText" text="已填写"/>
    <x:cfRule type="containsText" dxfId="5" priority="6" operator="containsText" text="待填写"/>
  </x:conditionalFormatting>
  <x:conditionalFormatting sqref="H36:H42">
    <x:cfRule type="containsText" dxfId="6" priority="7" operator="containsText" text="已填写"/>
    <x:cfRule type="containsText" dxfId="7" priority="8" operator="containsText" text="待填写"/>
  </x:conditionalFormatting>
  <x:dataValidations count="2">
    <x:dataValidation type="list" sqref="I16:I23">
      <x:formula1>"CW,CCW"</x:formula1>
    </x:dataValidation>
    <x:dataValidation type="list" sqref="J27:J32">
      <x:formula1>"是,否"</x:formula1>
    </x:dataValidation>
  </x:dataValidations>
  <x:pageMargins left="0.7" right="0.7" top="0.75" bottom="0.75" header="0.3" footer="0.3"/>
</x:worksheet>
</file>